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b9c3cdd97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c98637927ec4b6c"/>
    <x:sheet xmlns:r="http://schemas.openxmlformats.org/officeDocument/2006/relationships" name="Inputs" sheetId="2" r:id="Rfa750aca6b9e495d"/>
    <x:sheet xmlns:r="http://schemas.openxmlformats.org/officeDocument/2006/relationships" name="ArmFrame" sheetId="3" r:id="Re76a5c2a60f2433b"/>
    <x:sheet xmlns:r="http://schemas.openxmlformats.org/officeDocument/2006/relationships" name="PowerSensitivity" sheetId="4" r:id="R5c10a19877ce40f4"/>
    <x:sheet xmlns:r="http://schemas.openxmlformats.org/officeDocument/2006/relationships" name="PilotPrecision" sheetId="5" r:id="R21ceb990e3814f11"/>
    <x:sheet xmlns:r="http://schemas.openxmlformats.org/officeDocument/2006/relationships" name="ResourceSummary" sheetId="6" r:id="R58a941f3dc774402"/>
    <x:sheet xmlns:r="http://schemas.openxmlformats.org/officeDocument/2006/relationships" name="Schedule" sheetId="7" r:id="Re9a5ab269e754ec9"/>
    <x:sheet xmlns:r="http://schemas.openxmlformats.org/officeDocument/2006/relationships" name="Personnel" sheetId="8" r:id="R3a5ea692a5124ddc"/>
    <x:sheet xmlns:r="http://schemas.openxmlformats.org/officeDocument/2006/relationships" name="Blockers" sheetId="9" r:id="R590784cef768470c"/>
    <x:sheet xmlns:r="http://schemas.openxmlformats.org/officeDocument/2006/relationships" name="Sources" sheetId="10" r:id="R402aefda01e0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"/>
    <x:numFmt numFmtId="202" formatCode="0"/>
    <x:numFmt numFmtId="203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2" fontId="0" fillId="7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e1164efd44479" /><Relationship Type="http://schemas.openxmlformats.org/officeDocument/2006/relationships/theme" Target="/xl/theme/theme1.xml" Id="Rfac5558d13734033" /><Relationship Type="http://schemas.openxmlformats.org/officeDocument/2006/relationships/sharedStrings" Target="/xl/sharedStrings.xml" Id="Reaaf6f648fd249ac" /><Relationship Type="http://schemas.openxmlformats.org/officeDocument/2006/relationships/worksheet" Target="/xl/worksheets/sheet1.xml" Id="Rfc98637927ec4b6c" /><Relationship Type="http://schemas.openxmlformats.org/officeDocument/2006/relationships/worksheet" Target="/xl/worksheets/sheet2.xml" Id="Rfa750aca6b9e495d" /><Relationship Type="http://schemas.openxmlformats.org/officeDocument/2006/relationships/worksheet" Target="/xl/worksheets/sheet3.xml" Id="Re76a5c2a60f2433b" /><Relationship Type="http://schemas.openxmlformats.org/officeDocument/2006/relationships/worksheet" Target="/xl/worksheets/sheet4.xml" Id="R5c10a19877ce40f4" /><Relationship Type="http://schemas.openxmlformats.org/officeDocument/2006/relationships/worksheet" Target="/xl/worksheets/sheet5.xml" Id="R21ceb990e3814f11" /><Relationship Type="http://schemas.openxmlformats.org/officeDocument/2006/relationships/worksheet" Target="/xl/worksheets/sheet6.xml" Id="R58a941f3dc774402" /><Relationship Type="http://schemas.openxmlformats.org/officeDocument/2006/relationships/worksheet" Target="/xl/worksheets/sheet7.xml" Id="Re9a5ab269e754ec9" /><Relationship Type="http://schemas.openxmlformats.org/officeDocument/2006/relationships/worksheet" Target="/xl/worksheets/sheet8.xml" Id="R3a5ea692a5124ddc" /><Relationship Type="http://schemas.openxmlformats.org/officeDocument/2006/relationships/worksheet" Target="/xl/worksheets/sheet9.xml" Id="R590784cef768470c" /><Relationship Type="http://schemas.openxmlformats.org/officeDocument/2006/relationships/worksheet" Target="/xl/worksheets/sheet10.xml" Id="R402aefda01e045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2" hidden="0" customWidth="1"/>
    <x:col min="4" max="4" width="14" hidden="0" customWidth="1"/>
    <x:col min="5" max="5" width="28" hidden="0" customWidth="1"/>
    <x:col min="6" max="6" width="34" hidden="0" customWidth="1"/>
  </x:cols>
  <x:sheetData>
    <x:row r="1" ht="18" hidden="0" customHeight="1">
      <x:c r="A1" s="4" t="str">
        <x:v>实验资源与样本量预算 v6.7 — 设计修复候选版</x:v>
      </x:c>
      <x:c r="B1" s="4" t="str">
        <x:v>实验资源与样本量预算 v6.7 — 设计修复候选版</x:v>
      </x:c>
      <x:c r="C1" s="4" t="str">
        <x:v>实验资源与样本量预算 v6.7 — 设计修复候选版</x:v>
      </x:c>
      <x:c r="D1" s="4" t="str">
        <x:v>实验资源与样本量预算 v6.7 — 设计修复候选版</x:v>
      </x:c>
      <x:c r="E1" s="4" t="str">
        <x:v>实验资源与样本量预算 v6.7 — 设计修复候选版</x:v>
      </x:c>
      <x:c r="F1" s="4" t="str">
        <x:v>实验资源与样本量预算 v6.7 — 设计修复候选版</x:v>
      </x:c>
    </x:row>
    <x:row r="2"/>
    <x:row r="3" ht="15" hidden="0" customHeight="1">
      <x:c r="A3" s="10" t="str">
        <x:v>项目</x:v>
      </x:c>
      <x:c r="B3" s="10" t="str">
        <x:v>值</x:v>
      </x:c>
      <x:c r="C3" s="10" t="str">
        <x:v>可否编辑</x:v>
      </x:c>
      <x:c r="D3" s="10" t="str">
        <x:v>状态</x:v>
      </x:c>
      <x:c r="E3" s="10" t="str">
        <x:v>判定依据</x:v>
      </x:c>
      <x:c r="F3" s="10" t="str">
        <x:v>备注</x:v>
      </x:c>
    </x:row>
    <x:row r="4" ht="26.399999618530273" hidden="0" customHeight="1">
      <x:c r="A4" s="13" t="str">
        <x:v>规范绑定</x:v>
      </x:c>
      <x:c r="B4" s="13" t="str">
        <x:v>v20.1 / S1 v20.1 / S2 v20.1 / experiment v6.7</x:v>
      </x:c>
      <x:c r="C4" s="13" t="str">
        <x:v>否</x:v>
      </x:c>
      <x:c r="D4" s="13" t="str">
        <x:v>必须一致</x:v>
      </x:c>
      <x:c r="E4" s="13" t="str">
        <x:v>NormativeReleaseManifest</x:v>
      </x:c>
      <x:c r="F4" s="13" t="str">
        <x:v>任何跨版本拼接均使 package validation 失败</x:v>
      </x:c>
    </x:row>
    <x:row r="5" ht="15" hidden="0" customHeight="1">
      <x:c r="A5" s="13" t="str">
        <x:v>当前状态</x:v>
      </x:c>
      <x:c r="B5" s="13" t="str">
        <x:v>DESIGN-REPAIRED / CONFIRM-BLOCKED</x:v>
      </x:c>
      <x:c r="C5" s="13" t="str">
        <x:v>否</x:v>
      </x:c>
      <x:c r="D5" s="14" t="str">
        <x:v>阻断</x:v>
      </x:c>
      <x:c r="E5" s="13" t="str">
        <x:v>v6.7 G0–G5 gates</x:v>
      </x:c>
      <x:c r="F5" s="13" t="str">
        <x:v>不得把本表容量估计写成确认性样本量</x:v>
      </x:c>
    </x:row>
    <x:row r="6" ht="26.399999618530273" hidden="0" customHeight="1">
      <x:c r="A6" s="13" t="str">
        <x:v>独立单位</x:v>
      </x:c>
      <x:c r="B6" s="13" t="str">
        <x:v>physical_seed_base_bundle</x:v>
      </x:c>
      <x:c r="C6" s="13" t="str">
        <x:v>否</x:v>
      </x:c>
      <x:c r="D6" s="13" t="str">
        <x:v>冻结</x:v>
      </x:c>
      <x:c r="E6" s="13" t="str">
        <x:v>一次完整真实动力学轨迹</x:v>
      </x:c>
      <x:c r="F6" s="13" t="str">
        <x:v>tick/window/method/noise view 均为嵌套对象</x:v>
      </x:c>
    </x:row>
    <x:row r="7" ht="26.399999618530273" hidden="0" customHeight="1">
      <x:c r="A7" s="13" t="str">
        <x:v>样本量</x:v>
      </x:c>
      <x:c r="B7" s="15" t="str">
        <x:v>由 pilot + power-confirm 决定</x:v>
      </x:c>
      <x:c r="C7" s="13" t="str">
        <x:v>是</x:v>
      </x:c>
      <x:c r="D7" s="13" t="str">
        <x:v>未锁定</x:v>
      </x:c>
      <x:c r="E7" s="13" t="str">
        <x:v>完整 gate 的 simultaneous power 下限</x:v>
      </x:c>
      <x:c r="F7" s="13" t="str">
        <x:v>Inputs 中仅给出规划点与资源包络</x:v>
      </x:c>
    </x:row>
    <x:row r="8" ht="15" hidden="0" customHeight="1">
      <x:c r="A8" s="13" t="str">
        <x:v>主分析</x:v>
      </x:c>
      <x:c r="B8" s="13" t="str">
        <x:v>A vs 冻结 G*；paired by physical bundle</x:v>
      </x:c>
      <x:c r="C8" s="13" t="str">
        <x:v>否</x:v>
      </x:c>
      <x:c r="D8" s="13" t="str">
        <x:v>待密封</x:v>
      </x:c>
      <x:c r="E8" s="13" t="str">
        <x:v>v6.7 claim tree</x:v>
      </x:c>
      <x:c r="F8" s="13" t="str">
        <x:v>外部验证不并入主 n</x:v>
      </x:c>
    </x:row>
    <x:row r="9" ht="15" hidden="0" customHeight="1">
      <x:c r="A9" s="13" t="str">
        <x:v>时间</x:v>
      </x:c>
      <x:c r="B9" s="13" t="str">
        <x:v>24 周执行 + 4 周缓冲</x:v>
      </x:c>
      <x:c r="C9" s="13" t="str">
        <x:v>否</x:v>
      </x:c>
      <x:c r="D9" s="13" t="str">
        <x:v>资源承诺</x:v>
      </x:c>
      <x:c r="E9" s="13" t="str">
        <x:v>Schedule</x:v>
      </x:c>
      <x:c r="F9" s="13" t="str">
        <x:v>缓冲不得用于事后改主张</x:v>
      </x:c>
    </x:row>
    <x:row r="10" ht="15" hidden="0" customHeight="1">
      <x:c r="A10" s="13" t="str">
        <x:v>资源原则</x:v>
      </x:c>
      <x:c r="B10" s="13" t="str">
        <x:v>truth 只生成一次；各方法共享 truth hash</x:v>
      </x:c>
      <x:c r="C10" s="13" t="str">
        <x:v>否</x:v>
      </x:c>
      <x:c r="D10" s="13" t="str">
        <x:v>强制</x:v>
      </x:c>
      <x:c r="E10" s="13" t="str">
        <x:v>AllocationManifest/TestManifest</x:v>
      </x:c>
      <x:c r="F10" s="13" t="str">
        <x:v>方法臂不得各自重采样真值</x:v>
      </x:c>
    </x:row>
    <x:row r="11" ht="15" hidden="0" customHeight="1">
      <x:c r="A11" s="13" t="str">
        <x:v>更新规则</x:v>
      </x:c>
      <x:c r="B11" s="13" t="str">
        <x:v>只改 Inputs 黄色单元；改后重新密封</x:v>
      </x:c>
      <x:c r="C11" s="13" t="str">
        <x:v>否</x:v>
      </x:c>
      <x:c r="D11" s="13" t="str">
        <x:v>强制</x:v>
      </x:c>
      <x:c r="E11" s="13" t="str">
        <x:v>版本/hash 审计</x:v>
      </x:c>
      <x:c r="F11" s="13" t="str">
        <x:v>所有输出必须由同一输入快照重算</x:v>
      </x:c>
    </x:row>
    <x:row r="12"/>
    <x:row r="13" ht="15" hidden="0" customHeight="1">
      <x:c r="A13" s="20" t="str">
        <x:v>关键解释</x:v>
      </x:c>
      <x:c r="B13" s="13"/>
      <x:c r="C13" s="13"/>
      <x:c r="D13" s="13"/>
      <x:c r="E13" s="13"/>
      <x:c r="F13" s="13"/>
    </x:row>
    <x:row r="14" ht="15" hidden="0" customHeight="1">
      <x:c r="A14" s="13" t="str">
        <x:v>功效公式</x:v>
      </x:c>
      <x:c r="B14" s="13" t="str">
        <x:v>配对二分类近似：n = (zα + zβ)^2 × q / Δ^2，再乘设计效应并补偿无效 bundle；最终仍以预签 Monte Carlo 为准。</x:v>
      </x:c>
      <x:c r="C14" s="13"/>
      <x:c r="D14" s="13"/>
      <x:c r="E14" s="13"/>
      <x:c r="F14" s="13"/>
    </x:row>
    <x:row r="15" ht="15" hidden="0" customHeight="1">
      <x:c r="A15" s="13" t="str">
        <x:v>零事件</x:v>
      </x:c>
      <x:c r="B15" s="13" t="str">
        <x:v>pilot 中零失败不能证明风险为零；PilotPrecision 给出零事件 95% 上界。</x:v>
      </x:c>
      <x:c r="C15" s="13"/>
      <x:c r="D15" s="13"/>
      <x:c r="E15" s="13"/>
      <x:c r="F15" s="13"/>
    </x:row>
  </x:sheetData>
  <x:mergeCells>
    <x:mergeCell ref="A1:F1"/>
    <x:mergeCell ref="A13:F13"/>
    <x:mergeCell ref="B14:F14"/>
    <x:mergeCell ref="B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7" hidden="0" customWidth="1"/>
    <x:col min="4" max="4" width="16" hidden="0" customWidth="1"/>
    <x:col min="5" max="5" width="48" hidden="0" customWidth="1"/>
  </x:cols>
  <x:sheetData>
    <x:row r="1" ht="18" hidden="0" customHeight="1">
      <x:c r="A1" s="4" t="str">
        <x:v>Inputs — 预签假设、规划点与容量边界</x:v>
      </x:c>
      <x:c r="B1" s="4" t="str">
        <x:v>Inputs — 预签假设、规划点与容量边界</x:v>
      </x:c>
      <x:c r="C1" s="4" t="str">
        <x:v>Inputs — 预签假设、规划点与容量边界</x:v>
      </x:c>
      <x:c r="D1" s="4" t="str">
        <x:v>Inputs — 预签假设、规划点与容量边界</x:v>
      </x:c>
      <x:c r="E1" s="4" t="str">
        <x:v>Inputs — 预签假设、规划点与容量边界</x:v>
      </x:c>
    </x:row>
    <x:row r="2"/>
    <x:row r="3" ht="15" hidden="0" customHeight="1">
      <x:c r="A3" s="10" t="str">
        <x:v>ID</x:v>
      </x:c>
      <x:c r="B3" s="10" t="str">
        <x:v>数值</x:v>
      </x:c>
      <x:c r="C3" s="10" t="str">
        <x:v>单位</x:v>
      </x:c>
      <x:c r="D3" s="10" t="str">
        <x:v>类型</x:v>
      </x:c>
      <x:c r="E3" s="10" t="str">
        <x:v>定义/使用</x:v>
      </x:c>
    </x:row>
    <x:row r="4" ht="15" hidden="0" customHeight="1">
      <x:c r="A4" s="13" t="str">
        <x:v>alpha_one_sided</x:v>
      </x:c>
      <x:c r="B4" s="21" t="n">
        <x:v>0.025</x:v>
      </x:c>
      <x:c r="C4" s="13" t="str">
        <x:v>概率</x:v>
      </x:c>
      <x:c r="D4" s="13" t="str">
        <x:v>统计</x:v>
      </x:c>
      <x:c r="E4" s="13" t="str">
        <x:v>共同主终点各自采用 IUT；这里不因 IUT 机械 Bonferroni</x:v>
      </x:c>
    </x:row>
    <x:row r="5" ht="15" hidden="0" customHeight="1">
      <x:c r="A5" s="13" t="str">
        <x:v>target_power</x:v>
      </x:c>
      <x:c r="B5" s="21" t="n">
        <x:v>0.9</x:v>
      </x:c>
      <x:c r="C5" s="13" t="str">
        <x:v>概率</x:v>
      </x:c>
      <x:c r="D5" s="13" t="str">
        <x:v>统计</x:v>
      </x:c>
      <x:c r="E5" s="13" t="str">
        <x:v>完整 gate 的目标功效；最终看 simultaneous MC 下限</x:v>
      </x:c>
    </x:row>
    <x:row r="6" ht="15" hidden="0" customHeight="1">
      <x:c r="A6" s="13" t="str">
        <x:v>SESOI_delta</x:v>
      </x:c>
      <x:c r="B6" s="21" t="n">
        <x:v>0.02</x:v>
      </x:c>
      <x:c r="C6" s="13" t="str">
        <x:v>绝对风险差</x:v>
      </x:c>
      <x:c r="D6" s="13" t="str">
        <x:v>统计</x:v>
      </x:c>
      <x:c r="E6" s="13" t="str">
        <x:v>规划点；pilot 后在不看 test 的情况下冻结</x:v>
      </x:c>
    </x:row>
    <x:row r="7" ht="15" hidden="0" customHeight="1">
      <x:c r="A7" s="13" t="str">
        <x:v>discordant_q</x:v>
      </x:c>
      <x:c r="B7" s="21" t="n">
        <x:v>0.25</x:v>
      </x:c>
      <x:c r="C7" s="13" t="str">
        <x:v>概率</x:v>
      </x:c>
      <x:c r="D7" s="13" t="str">
        <x:v>统计</x:v>
      </x:c>
      <x:c r="E7" s="13" t="str">
        <x:v>配对二分类不一致概率 p10+p01 的规划点</x:v>
      </x:c>
    </x:row>
    <x:row r="8" ht="15" hidden="0" customHeight="1">
      <x:c r="A8" s="13" t="str">
        <x:v>design_effect</x:v>
      </x:c>
      <x:c r="B8" s="21" t="n">
        <x:v>1.15</x:v>
      </x:c>
      <x:c r="C8" s="13" t="str">
        <x:v>倍数</x:v>
      </x:c>
      <x:c r="D8" s="13" t="str">
        <x:v>统计</x:v>
      </x:c>
      <x:c r="E8" s="13" t="str">
        <x:v>层/轨迹异质性与模型保守包络</x:v>
      </x:c>
    </x:row>
    <x:row r="9" ht="15" hidden="0" customHeight="1">
      <x:c r="A9" s="13" t="str">
        <x:v>invalid_bundle_rate</x:v>
      </x:c>
      <x:c r="B9" s="21" t="n">
        <x:v>0.05</x:v>
      </x:c>
      <x:c r="C9" s="13" t="str">
        <x:v>概率</x:v>
      </x:c>
      <x:c r="D9" s="13" t="str">
        <x:v>统计</x:v>
      </x:c>
      <x:c r="E9" s="13" t="str">
        <x:v>资格失败/共同无效的规划上界</x:v>
      </x:c>
    </x:row>
    <x:row r="10" ht="15" hidden="0" customHeight="1">
      <x:c r="A10" s="13" t="str">
        <x:v>candidate_strata</x:v>
      </x:c>
      <x:c r="B10" s="21" t="n">
        <x:v>24</x:v>
      </x:c>
      <x:c r="C10" s="13" t="str">
        <x:v>层</x:v>
      </x:c>
      <x:c r="D10" s="13" t="str">
        <x:v>设计</x:v>
      </x:c>
      <x:c r="E10" s="13" t="str">
        <x:v>2 CSTR 拓扑 × 4 路径族 × 3 严重度；资格后可删不可换</x:v>
      </x:c>
    </x:row>
    <x:row r="11" ht="15" hidden="0" customHeight="1">
      <x:c r="A11" s="13" t="str">
        <x:v>min_per_stratum</x:v>
      </x:c>
      <x:c r="B11" s="21" t="n">
        <x:v>100</x:v>
      </x:c>
      <x:c r="C11" s="13" t="str">
        <x:v>bundle</x:v>
      </x:c>
      <x:c r="D11" s="13" t="str">
        <x:v>设计</x:v>
      </x:c>
      <x:c r="E11" s="13" t="str">
        <x:v>尾部与层级可解释性的资源下限，不等于功效结论</x:v>
      </x:c>
    </x:row>
    <x:row r="12" ht="15" hidden="0" customHeight="1">
      <x:c r="A12" s="13" t="str">
        <x:v>ssr_envelope</x:v>
      </x:c>
      <x:c r="B12" s="22" t="n">
        <x:v>1.15</x:v>
      </x:c>
      <x:c r="C12" s="13" t="str">
        <x:v>倍数</x:v>
      </x:c>
      <x:c r="D12" s="13" t="str">
        <x:v>统计</x:v>
      </x:c>
      <x:c r="E12" s="13" t="str">
        <x:v>仅盲态 nuisance SSR，可上调不可下调</x:v>
      </x:c>
    </x:row>
    <x:row r="13" ht="15" hidden="0" customHeight="1">
      <x:c r="A13" s="13" t="str">
        <x:v>mc_replicates</x:v>
      </x:c>
      <x:c r="B13" s="22" t="n">
        <x:v>250000</x:v>
      </x:c>
      <x:c r="C13" s="13" t="str">
        <x:v>replicate/grid</x:v>
      </x:c>
      <x:c r="D13" s="13" t="str">
        <x:v>功效</x:v>
      </x:c>
      <x:c r="E13" s="13" t="str">
        <x:v>power-confirm 重复数；需报告 simultaneous Wilson 下限</x:v>
      </x:c>
    </x:row>
    <x:row r="14" ht="15" hidden="0" customHeight="1">
      <x:c r="A14" s="13" t="str">
        <x:v>mc_grid_points</x:v>
      </x:c>
      <x:c r="B14" s="22" t="n">
        <x:v>12</x:v>
      </x:c>
      <x:c r="C14" s="13" t="str">
        <x:v>点</x:v>
      </x:c>
      <x:c r="D14" s="13" t="str">
        <x:v>功效</x:v>
      </x:c>
      <x:c r="E14" s="13" t="str">
        <x:v>预签 nuisance grid</x:v>
      </x:c>
    </x:row>
    <x:row r="15" ht="15" hidden="0" customHeight="1">
      <x:c r="A15" s="13" t="str">
        <x:v>mean_cpu_seconds_per_run</x:v>
      </x:c>
      <x:c r="B15" s="22" t="n">
        <x:v>8</x:v>
      </x:c>
      <x:c r="C15" s="13" t="str">
        <x:v>秒</x:v>
      </x:c>
      <x:c r="D15" s="13" t="str">
        <x:v>资源</x:v>
      </x:c>
      <x:c r="E15" s="13" t="str">
        <x:v>方法在共享 truth 上一次完整运行的保守均值</x:v>
      </x:c>
    </x:row>
    <x:row r="16" ht="15" hidden="0" customHeight="1">
      <x:c r="A16" s="13" t="str">
        <x:v>cpu_overhead_factor</x:v>
      </x:c>
      <x:c r="B16" s="22" t="n">
        <x:v>1.3</x:v>
      </x:c>
      <x:c r="C16" s="13" t="str">
        <x:v>倍数</x:v>
      </x:c>
      <x:c r="D16" s="13" t="str">
        <x:v>资源</x:v>
      </x:c>
      <x:c r="E16" s="13" t="str">
        <x:v>容器、I/O、失败重跑与审计开销</x:v>
      </x:c>
    </x:row>
    <x:row r="17" ht="15" hidden="0" customHeight="1">
      <x:c r="A17" s="13" t="str">
        <x:v>truth_mb_per_bundle</x:v>
      </x:c>
      <x:c r="B17" s="22" t="n">
        <x:v>80</x:v>
      </x:c>
      <x:c r="C17" s="13" t="str">
        <x:v>MB</x:v>
      </x:c>
      <x:c r="D17" s="13" t="str">
        <x:v>存储</x:v>
      </x:c>
      <x:c r="E17" s="13" t="str">
        <x:v>原始轨迹、truth 与证书；方法不可见字段物理隔离</x:v>
      </x:c>
    </x:row>
    <x:row r="18" ht="15" hidden="0" customHeight="1">
      <x:c r="A18" s="13" t="str">
        <x:v>output_kb_per_method_run</x:v>
      </x:c>
      <x:c r="B18" s="22" t="n">
        <x:v>120</x:v>
      </x:c>
      <x:c r="C18" s="13" t="str">
        <x:v>KB</x:v>
      </x:c>
      <x:c r="D18" s="13" t="str">
        <x:v>存储</x:v>
      </x:c>
      <x:c r="E18" s="13" t="str">
        <x:v>belief、action、metric intermediate</x:v>
      </x:c>
    </x:row>
    <x:row r="19" ht="15" hidden="0" customHeight="1">
      <x:c r="A19" s="13" t="str">
        <x:v>audit_kb_per_method_run</x:v>
      </x:c>
      <x:c r="B19" s="22" t="n">
        <x:v>240</x:v>
      </x:c>
      <x:c r="C19" s="13" t="str">
        <x:v>KB</x:v>
      </x:c>
      <x:c r="D19" s="13" t="str">
        <x:v>存储</x:v>
      </x:c>
      <x:c r="E19" s="13" t="str">
        <x:v>事件日志、ledger、hash 与审计证据</x:v>
      </x:c>
    </x:row>
    <x:row r="20" ht="15" hidden="0" customHeight="1">
      <x:c r="A20" s="13" t="str">
        <x:v>storage_replication_factor</x:v>
      </x:c>
      <x:c r="B20" s="22" t="n">
        <x:v>2.5</x:v>
      </x:c>
      <x:c r="C20" s="13" t="str">
        <x:v>倍数</x:v>
      </x:c>
      <x:c r="D20" s="13" t="str">
        <x:v>存储</x:v>
      </x:c>
      <x:c r="E20" s="13" t="str">
        <x:v>工作副本 + 冷备 + 索引/压缩不确定性</x:v>
      </x:c>
    </x:row>
    <x:row r="21" ht="15" hidden="0" customHeight="1">
      <x:c r="A21" s="13" t="str">
        <x:v>available_storage_tb</x:v>
      </x:c>
      <x:c r="B21" s="22" t="n">
        <x:v>4</x:v>
      </x:c>
      <x:c r="C21" s="13" t="str">
        <x:v>TB</x:v>
      </x:c>
      <x:c r="D21" s="13" t="str">
        <x:v>容量</x:v>
      </x:c>
      <x:c r="E21" s="13" t="str">
        <x:v>可用实验存储；需保留至少 25% 余量</x:v>
      </x:c>
    </x:row>
    <x:row r="22" ht="15" hidden="0" customHeight="1">
      <x:c r="A22" s="13" t="str">
        <x:v>available_cpu_hours</x:v>
      </x:c>
      <x:c r="B22" s="22" t="n">
        <x:v>6000</x:v>
      </x:c>
      <x:c r="C22" s="13" t="str">
        <x:v>CPU-h</x:v>
      </x:c>
      <x:c r="D22" s="13" t="str">
        <x:v>容量</x:v>
      </x:c>
      <x:c r="E22" s="13" t="str">
        <x:v>两台工作站可交付总预算</x:v>
      </x:c>
    </x:row>
    <x:row r="23" ht="15" hidden="0" customHeight="1">
      <x:c r="A23" s="13" t="str">
        <x:v>available_gpu_hours</x:v>
      </x:c>
      <x:c r="B23" s="22" t="n">
        <x:v>240</x:v>
      </x:c>
      <x:c r="C23" s="13" t="str">
        <x:v>GPU-h</x:v>
      </x:c>
      <x:c r="D23" s="13" t="str">
        <x:v>容量</x:v>
      </x:c>
      <x:c r="E23" s="13" t="str">
        <x:v>仅资格/外部验证；主治理不依赖 GPU</x:v>
      </x:c>
    </x:row>
    <x:row r="24" ht="15" hidden="0" customHeight="1">
      <x:c r="A24" s="13" t="str">
        <x:v>execution_weeks</x:v>
      </x:c>
      <x:c r="B24" s="22" t="n">
        <x:v>24</x:v>
      </x:c>
      <x:c r="C24" s="13" t="str">
        <x:v>周</x:v>
      </x:c>
      <x:c r="D24" s="13" t="str">
        <x:v>计划</x:v>
      </x:c>
      <x:c r="E24" s="13" t="str">
        <x:v>G0–G9 正式执行</x:v>
      </x:c>
    </x:row>
    <x:row r="25" ht="15" hidden="0" customHeight="1">
      <x:c r="A25" s="13" t="str">
        <x:v>buffer_weeks</x:v>
      </x:c>
      <x:c r="B25" s="22" t="n">
        <x:v>4</x:v>
      </x:c>
      <x:c r="C25" s="13" t="str">
        <x:v>周</x:v>
      </x:c>
      <x:c r="D25" s="13" t="str">
        <x:v>计划</x:v>
      </x:c>
      <x:c r="E25" s="13" t="str">
        <x:v>只吸收工程风险，不改变预注册主张</x:v>
      </x:c>
    </x:row>
    <x:row r="26" ht="15" hidden="0" customHeight="1">
      <x:c r="A26" s="13"/>
      <x:c r="B26" s="22"/>
      <x:c r="C26" s="13"/>
      <x:c r="D26" s="13"/>
      <x:c r="E26" s="13"/>
    </x:row>
    <x:row r="27"/>
    <x:row r="28" ht="15" hidden="0" customHeight="1">
      <x:c r="A28" s="10" t="str">
        <x:v>派生量</x:v>
      </x:c>
      <x:c r="B28" s="10" t="str">
        <x:v>公式/值</x:v>
      </x:c>
      <x:c r="C28" s="10" t="str">
        <x:v>单位</x:v>
      </x:c>
      <x:c r="D28" s="10" t="str">
        <x:v>用途</x:v>
      </x:c>
      <x:c r="E28" s="10" t="str">
        <x:v>状态</x:v>
      </x:c>
    </x:row>
    <x:row r="29" ht="26.399999618530273" hidden="0" customHeight="1">
      <x:c r="A29" s="13" t="str">
        <x:v>planning_n_raw</x:v>
      </x:c>
      <x:c r="B29" s="24" t="n">
        <x:f>((NORM.S.INV(1-B4)+NORM.S.INV(B5))^2*B7/(B6^2))*B8/(1-B9)*B12</x:f>
        <x:v>9142.149341286333</x:v>
      </x:c>
      <x:c r="C29" s="13" t="str">
        <x:v>bundle</x:v>
      </x:c>
      <x:c r="D29" s="13" t="str">
        <x:v>解析近似，仅用于容量规划</x:v>
      </x:c>
      <x:c r="E29" s="13" t="str">
        <x:v>非确认性</x:v>
      </x:c>
    </x:row>
    <x:row r="30" ht="26.399999618530273" hidden="0" customHeight="1">
      <x:c r="A30" s="13" t="str">
        <x:v>planning_n_rounded</x:v>
      </x:c>
      <x:c r="B30" s="24" t="n">
        <x:f>MAX(ROUNDUP(B29/B10,0)*B10,B10*B11)</x:f>
        <x:v>9144</x:v>
      </x:c>
      <x:c r="C30" s="13" t="str">
        <x:v>bundle</x:v>
      </x:c>
      <x:c r="D30" s="13" t="str">
        <x:v>同时满足层最小数并取 24 的倍数</x:v>
      </x:c>
      <x:c r="E30" s="13" t="str">
        <x:v>非确认性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6" hidden="0" customWidth="1"/>
    <x:col min="9" max="9" width="16" hidden="0" customWidth="1"/>
  </x:cols>
  <x:sheetData>
    <x:row r="1" ht="18" hidden="0" customHeight="1">
      <x:c r="A1" s="4" t="str">
        <x:v>Arm × Frame — 共享真值上的冻结运行矩阵</x:v>
      </x:c>
      <x:c r="B1" s="4" t="str">
        <x:v>Arm × Frame — 共享真值上的冻结运行矩阵</x:v>
      </x:c>
      <x:c r="C1" s="4" t="str">
        <x:v>Arm × Frame — 共享真值上的冻结运行矩阵</x:v>
      </x:c>
      <x:c r="D1" s="4" t="str">
        <x:v>Arm × Frame — 共享真值上的冻结运行矩阵</x:v>
      </x:c>
      <x:c r="E1" s="4" t="str">
        <x:v>Arm × Frame — 共享真值上的冻结运行矩阵</x:v>
      </x:c>
      <x:c r="F1" s="4" t="str">
        <x:v>Arm × Frame — 共享真值上的冻结运行矩阵</x:v>
      </x:c>
      <x:c r="G1" s="4" t="str">
        <x:v>Arm × Frame — 共享真值上的冻结运行矩阵</x:v>
      </x:c>
      <x:c r="H1" s="4" t="str">
        <x:v>Arm × Frame — 共享真值上的冻结运行矩阵</x:v>
      </x:c>
      <x:c r="I1" s="4" t="str">
        <x:v>Arm × Frame — 共享真值上的冻结运行矩阵</x:v>
      </x:c>
    </x:row>
    <x:row r="2" ht="15" hidden="0" customHeight="1">
      <x:c r="A2" s="13" t="str"/>
      <x:c r="B2" s="13" t="str"/>
      <x:c r="C2" s="13" t="str">
        <x:v>H</x:v>
      </x:c>
      <x:c r="D2" s="13" t="str">
        <x:v>G</x:v>
      </x:c>
      <x:c r="E2" s="13" t="str">
        <x:v>B</x:v>
      </x:c>
      <x:c r="F2" s="13" t="str">
        <x:v>N</x:v>
      </x:c>
      <x:c r="G2" s="13" t="str">
        <x:v>E</x:v>
      </x:c>
      <x:c r="H2" s="13" t="str"/>
      <x:c r="I2" s="13" t="str"/>
    </x:row>
    <x:row r="3" ht="15" hidden="0" customHeight="1">
      <x:c r="A3" s="10" t="str">
        <x:v>Arm</x:v>
      </x:c>
      <x:c r="B3" s="10" t="str">
        <x:v>角色/公平合同</x:v>
      </x:c>
      <x:c r="C3" s="25" t="n">
        <x:v>4800</x:v>
      </x:c>
      <x:c r="D3" s="25" t="n">
        <x:v>2400</x:v>
      </x:c>
      <x:c r="E3" s="25" t="n">
        <x:v>1200</x:v>
      </x:c>
      <x:c r="F3" s="25" t="n">
        <x:v>1200</x:v>
      </x:c>
      <x:c r="G3" s="25" t="n">
        <x:v>500</x:v>
      </x:c>
      <x:c r="H3" s="10" t="str">
        <x:v>方法运行数</x:v>
      </x:c>
      <x:c r="I3" s="10" t="str">
        <x:v>确认性/支持性</x:v>
      </x:c>
    </x:row>
    <x:row r="4" ht="15" hidden="0" customHeight="1">
      <x:c r="A4" s="13" t="str">
        <x:v>A</x:v>
      </x:c>
      <x:c r="B4" s="13" t="str">
        <x:v>v20.1 完整治理；冻结下游算子</x:v>
      </x:c>
      <x:c r="C4" s="26" t="n">
        <x:v>1</x:v>
      </x:c>
      <x:c r="D4" s="26" t="n">
        <x:v>1</x:v>
      </x:c>
      <x:c r="E4" s="26" t="n">
        <x:v>1</x:v>
      </x:c>
      <x:c r="F4" s="26" t="n">
        <x:v>1</x:v>
      </x:c>
      <x:c r="G4" s="26" t="n">
        <x:v>1</x:v>
      </x:c>
      <x:c r="H4" s="23" t="n">
        <x:f>SUMPRODUCT(C4:G4,C$3:G$3)</x:f>
        <x:v>10100</x:v>
      </x:c>
      <x:c r="I4" s="13" t="str">
        <x:v>主</x:v>
      </x:c>
    </x:row>
    <x:row r="5" ht="15" hidden="0" customHeight="1">
      <x:c r="A5" s="13" t="str">
        <x:v>G*</x:v>
      </x:c>
      <x:c r="B5" s="13" t="str">
        <x:v>D_select 选定的唯一强主基线</x:v>
      </x:c>
      <x:c r="C5" s="26" t="n">
        <x:v>1</x:v>
      </x:c>
      <x:c r="D5" s="26" t="n">
        <x:v>1</x:v>
      </x:c>
      <x:c r="E5" s="26" t="n">
        <x:v>1</x:v>
      </x:c>
      <x:c r="F5" s="26" t="n">
        <x:v>1</x:v>
      </x:c>
      <x:c r="G5" s="26" t="n">
        <x:v>1</x:v>
      </x:c>
      <x:c r="H5" s="23" t="n">
        <x:f>SUMPRODUCT(C5:G5,C$3:G$3)</x:f>
        <x:v>10100</x:v>
      </x:c>
      <x:c r="I5" s="13" t="str">
        <x:v>主</x:v>
      </x:c>
    </x:row>
    <x:row r="6" ht="15" hidden="0" customHeight="1">
      <x:c r="A6" s="13" t="str">
        <x:v>C</x:v>
      </x:c>
      <x:c r="B6" s="13" t="str">
        <x:v>独立容器/团队实现等价性</x:v>
      </x:c>
      <x:c r="C6" s="26" t="n">
        <x:v>1</x:v>
      </x:c>
      <x:c r="D6" s="26" t="n">
        <x:v>1</x:v>
      </x:c>
      <x:c r="E6" s="26" t="n">
        <x:v>1</x:v>
      </x:c>
      <x:c r="F6" s="26" t="n">
        <x:v>1</x:v>
      </x:c>
      <x:c r="G6" s="26" t="n">
        <x:v>1</x:v>
      </x:c>
      <x:c r="H6" s="23" t="n">
        <x:f>SUMPRODUCT(C6:G6,C$3:G$3)</x:f>
        <x:v>10100</x:v>
      </x:c>
      <x:c r="I6" s="13" t="str">
        <x:v>主</x:v>
      </x:c>
    </x:row>
    <x:row r="7" ht="15" hidden="0" customHeight="1">
      <x:c r="A7" s="13" t="str">
        <x:v>A^-Topo</x:v>
      </x:c>
      <x:c r="B7" s="13" t="str">
        <x:v>去 hazard-barrier topology；同 demand clock</x:v>
      </x:c>
      <x:c r="C7" s="26" t="n">
        <x:v>1</x:v>
      </x:c>
      <x:c r="D7" s="26" t="n">
        <x:v>1</x:v>
      </x:c>
      <x:c r="E7" s="26" t="n">
        <x:v>0</x:v>
      </x:c>
      <x:c r="F7" s="26" t="n">
        <x:v>1</x:v>
      </x:c>
      <x:c r="G7" s="26" t="n">
        <x:v>1</x:v>
      </x:c>
      <x:c r="H7" s="23" t="n">
        <x:f>SUMPRODUCT(C7:G7,C$3:G$3)</x:f>
        <x:v>8900</x:v>
      </x:c>
      <x:c r="I7" s="13" t="str">
        <x:v>机制</x:v>
      </x:c>
    </x:row>
    <x:row r="8" ht="15" hidden="0" customHeight="1">
      <x:c r="A8" s="13" t="str">
        <x:v>A^-Ledger</x:v>
      </x:c>
      <x:c r="B8" s="13" t="str">
        <x:v>保留 lineage 表示，去原子生命周期账本</x:v>
      </x:c>
      <x:c r="C8" s="26" t="n">
        <x:v>1</x:v>
      </x:c>
      <x:c r="D8" s="26" t="n">
        <x:v>1</x:v>
      </x:c>
      <x:c r="E8" s="26" t="n">
        <x:v>1</x:v>
      </x:c>
      <x:c r="F8" s="26" t="n">
        <x:v>1</x:v>
      </x:c>
      <x:c r="G8" s="26" t="n">
        <x:v>1</x:v>
      </x:c>
      <x:c r="H8" s="23" t="n">
        <x:f>SUMPRODUCT(C8:G8,C$3:G$3)</x:f>
        <x:v>10100</x:v>
      </x:c>
      <x:c r="I8" s="13" t="str">
        <x:v>机制</x:v>
      </x:c>
    </x:row>
    <x:row r="9" ht="15" hidden="0" customHeight="1">
      <x:c r="A9" s="13" t="str">
        <x:v>A^-Scope</x:v>
      </x:c>
      <x:c r="B9" s="13" t="str">
        <x:v>去 sealed ScopeClosure</x:v>
      </x:c>
      <x:c r="C9" s="26" t="n">
        <x:v>1</x:v>
      </x:c>
      <x:c r="D9" s="26" t="n">
        <x:v>1</x:v>
      </x:c>
      <x:c r="E9" s="26" t="n">
        <x:v>1</x:v>
      </x:c>
      <x:c r="F9" s="26" t="n">
        <x:v>1</x:v>
      </x:c>
      <x:c r="G9" s="26" t="n">
        <x:v>1</x:v>
      </x:c>
      <x:c r="H9" s="23" t="n">
        <x:f>SUMPRODUCT(C9:G9,C$3:G$3)</x:f>
        <x:v>10100</x:v>
      </x:c>
      <x:c r="I9" s="13" t="str">
        <x:v>机制</x:v>
      </x:c>
    </x:row>
    <x:row r="10" ht="15" hidden="0" customHeight="1">
      <x:c r="A10" s="13" t="str">
        <x:v>M1</x:v>
      </x:c>
      <x:c r="B10" s="13" t="str">
        <x:v>无 provenance 的原始组合</x:v>
      </x:c>
      <x:c r="C10" s="26" t="n">
        <x:v>1</x:v>
      </x:c>
      <x:c r="D10" s="26" t="n">
        <x:v>1</x:v>
      </x:c>
      <x:c r="E10" s="26" t="n">
        <x:v>0</x:v>
      </x:c>
      <x:c r="F10" s="26" t="n">
        <x:v>1</x:v>
      </x:c>
      <x:c r="G10" s="26" t="n">
        <x:v>1</x:v>
      </x:c>
      <x:c r="H10" s="23" t="n">
        <x:f>SUMPRODUCT(C10:G10,C$3:G$3)</x:f>
        <x:v>8900</x:v>
      </x:c>
      <x:c r="I10" s="13" t="str">
        <x:v>消融</x:v>
      </x:c>
    </x:row>
    <x:row r="11" ht="15" hidden="0" customHeight="1">
      <x:c r="A11" s="13" t="str">
        <x:v>M2</x:v>
      </x:c>
      <x:c r="B11" s="13" t="str">
        <x:v>lineage-only 去重</x:v>
      </x:c>
      <x:c r="C11" s="26" t="n">
        <x:v>1</x:v>
      </x:c>
      <x:c r="D11" s="26" t="n">
        <x:v>1</x:v>
      </x:c>
      <x:c r="E11" s="26" t="n">
        <x:v>0</x:v>
      </x:c>
      <x:c r="F11" s="26" t="n">
        <x:v>1</x:v>
      </x:c>
      <x:c r="G11" s="26" t="n">
        <x:v>1</x:v>
      </x:c>
      <x:c r="H11" s="23" t="n">
        <x:f>SUMPRODUCT(C11:G11,C$3:G$3)</x:f>
        <x:v>8900</x:v>
      </x:c>
      <x:c r="I11" s="13" t="str">
        <x:v>消融</x:v>
      </x:c>
    </x:row>
    <x:row r="12" ht="15" hidden="0" customHeight="1">
      <x:c r="A12" s="13" t="str">
        <x:v>M3</x:v>
      </x:c>
      <x:c r="B12" s="13" t="str">
        <x:v>lineage + lifecycle；无多轴预算</x:v>
      </x:c>
      <x:c r="C12" s="26" t="n">
        <x:v>1</x:v>
      </x:c>
      <x:c r="D12" s="26" t="n">
        <x:v>1</x:v>
      </x:c>
      <x:c r="E12" s="26" t="n">
        <x:v>1</x:v>
      </x:c>
      <x:c r="F12" s="26" t="n">
        <x:v>1</x:v>
      </x:c>
      <x:c r="G12" s="26" t="n">
        <x:v>1</x:v>
      </x:c>
      <x:c r="H12" s="23" t="n">
        <x:f>SUMPRODUCT(C12:G12,C$3:G$3)</x:f>
        <x:v>10100</x:v>
      </x:c>
      <x:c r="I12" s="13" t="str">
        <x:v>消融</x:v>
      </x:c>
    </x:row>
    <x:row r="13" ht="15" hidden="0" customHeight="1">
      <x:c r="A13" s="13" t="str">
        <x:v>M4</x:v>
      </x:c>
      <x:c r="B13" s="13" t="str">
        <x:v>M3 + 多轴预算</x:v>
      </x:c>
      <x:c r="C13" s="26" t="n">
        <x:v>1</x:v>
      </x:c>
      <x:c r="D13" s="26" t="n">
        <x:v>1</x:v>
      </x:c>
      <x:c r="E13" s="26" t="n">
        <x:v>1</x:v>
      </x:c>
      <x:c r="F13" s="26" t="n">
        <x:v>1</x:v>
      </x:c>
      <x:c r="G13" s="26" t="n">
        <x:v>1</x:v>
      </x:c>
      <x:c r="H13" s="23" t="n">
        <x:f>SUMPRODUCT(C13:G13,C$3:G$3)</x:f>
        <x:v>10100</x:v>
      </x:c>
      <x:c r="I13" s="13" t="str">
        <x:v>消融</x:v>
      </x:c>
    </x:row>
    <x:row r="14" ht="15" hidden="0" customHeight="1">
      <x:c r="A14" s="13" t="str">
        <x:v>PRIMEX-PEV</x:v>
      </x:c>
      <x:c r="B14" s="13" t="str">
        <x:v>provenance lineage/value 基线；等输入预算</x:v>
      </x:c>
      <x:c r="C14" s="26" t="n">
        <x:v>1</x:v>
      </x:c>
      <x:c r="D14" s="26" t="n">
        <x:v>1</x:v>
      </x:c>
      <x:c r="E14" s="26" t="n">
        <x:v>0</x:v>
      </x:c>
      <x:c r="F14" s="26" t="n">
        <x:v>1</x:v>
      </x:c>
      <x:c r="G14" s="26" t="n">
        <x:v>1</x:v>
      </x:c>
      <x:c r="H14" s="23" t="n">
        <x:f>SUMPRODUCT(C14:G14,C$3:G$3)</x:f>
        <x:v>8900</x:v>
      </x:c>
      <x:c r="I14" s="13" t="str">
        <x:v>强基线</x:v>
      </x:c>
    </x:row>
    <x:row r="15" ht="15" hidden="0" customHeight="1">
      <x:c r="A15" s="13" t="str">
        <x:v>Cautious/Idempotent</x:v>
      </x:c>
      <x:c r="B15" s="13" t="str">
        <x:v>Shenoy/cautious 家族；相同 BPA 与 clock</x:v>
      </x:c>
      <x:c r="C15" s="26" t="n">
        <x:v>1</x:v>
      </x:c>
      <x:c r="D15" s="26" t="n">
        <x:v>1</x:v>
      </x:c>
      <x:c r="E15" s="26" t="n">
        <x:v>0</x:v>
      </x:c>
      <x:c r="F15" s="26" t="n">
        <x:v>1</x:v>
      </x:c>
      <x:c r="G15" s="26" t="n">
        <x:v>1</x:v>
      </x:c>
      <x:c r="H15" s="23" t="n">
        <x:f>SUMPRODUCT(C15:G15,C$3:G$3)</x:f>
        <x:v>8900</x:v>
      </x:c>
      <x:c r="I15" s="13" t="str">
        <x:v>强基线</x:v>
      </x:c>
    </x:row>
    <x:row r="16" ht="15" hidden="0" customHeight="1">
      <x:c r="A16" s="13" t="str">
        <x:v>CI/Unknown-corr</x:v>
      </x:c>
      <x:c r="B16" s="13" t="str">
        <x:v>无共同 root 的统计相关边界基线</x:v>
      </x:c>
      <x:c r="C16" s="26" t="n">
        <x:v>1</x:v>
      </x:c>
      <x:c r="D16" s="26" t="n">
        <x:v>1</x:v>
      </x:c>
      <x:c r="E16" s="26" t="n">
        <x:v>0</x:v>
      </x:c>
      <x:c r="F16" s="26" t="n">
        <x:v>1</x:v>
      </x:c>
      <x:c r="G16" s="26" t="n">
        <x:v>1</x:v>
      </x:c>
      <x:c r="H16" s="23" t="n">
        <x:f>SUMPRODUCT(C16:G16,C$3:G$3)</x:f>
        <x:v>8900</x:v>
      </x:c>
      <x:c r="I16" s="13" t="str">
        <x:v>边界</x:v>
      </x:c>
    </x:row>
    <x:row r="17" ht="15" hidden="0" customHeight="1">
      <x:c r="A17" s="13" t="str">
        <x:v>Dempster raw</x:v>
      </x:c>
      <x:c r="B17" s="13" t="str">
        <x:v>未经谱系治理的 normalized conjunctive</x:v>
      </x:c>
      <x:c r="C17" s="26" t="n">
        <x:v>1</x:v>
      </x:c>
      <x:c r="D17" s="26" t="n">
        <x:v>1</x:v>
      </x:c>
      <x:c r="E17" s="26" t="n">
        <x:v>0</x:v>
      </x:c>
      <x:c r="F17" s="26" t="n">
        <x:v>1</x:v>
      </x:c>
      <x:c r="G17" s="26" t="n">
        <x:v>1</x:v>
      </x:c>
      <x:c r="H17" s="23" t="n">
        <x:f>SUMPRODUCT(C17:G17,C$3:G$3)</x:f>
        <x:v>8900</x:v>
      </x:c>
      <x:c r="I17" s="13" t="str">
        <x:v>压力</x:v>
      </x:c>
    </x:row>
    <x:row r="18" ht="15" hidden="0" customHeight="1">
      <x:c r="A18" s="13" t="str">
        <x:v>Yager/PCR</x:v>
      </x:c>
      <x:c r="B18" s="13" t="str">
        <x:v>高冲突数值规则；不解决来源重复</x:v>
      </x:c>
      <x:c r="C18" s="26" t="n">
        <x:v>1</x:v>
      </x:c>
      <x:c r="D18" s="26" t="n">
        <x:v>1</x:v>
      </x:c>
      <x:c r="E18" s="26" t="n">
        <x:v>0</x:v>
      </x:c>
      <x:c r="F18" s="26" t="n">
        <x:v>1</x:v>
      </x:c>
      <x:c r="G18" s="26" t="n">
        <x:v>1</x:v>
      </x:c>
      <x:c r="H18" s="23" t="n">
        <x:f>SUMPRODUCT(C18:G18,C$3:G$3)</x:f>
        <x:v>8900</x:v>
      </x:c>
      <x:c r="I18" s="13" t="str">
        <x:v>压力</x:v>
      </x:c>
    </x:row>
    <x:row r="19" ht="15" hidden="0" customHeight="1">
      <x:c r="A19" s="13"/>
      <x:c r="B19" s="13"/>
      <x:c r="C19" s="13"/>
      <x:c r="D19" s="13"/>
      <x:c r="E19" s="13"/>
      <x:c r="F19" s="13"/>
      <x:c r="G19" s="13"/>
      <x:c r="H19" s="23"/>
      <x:c r="I19" s="13"/>
    </x:row>
    <x:row r="20" ht="15" hidden="0" customHeight="1">
      <x:c r="A20" s="13" t="str">
        <x:v>合计唯一 physical bundles</x:v>
      </x:c>
      <x:c r="B20" s="13"/>
      <x:c r="C20" s="13"/>
      <x:c r="D20" s="13"/>
      <x:c r="E20" s="13"/>
      <x:c r="F20" s="13"/>
      <x:c r="G20" s="13"/>
      <x:c r="H20" s="23" t="n">
        <x:f>SUM(C3:G3)</x:f>
        <x:v>10100</x:v>
      </x:c>
      <x:c r="I20" s="13"/>
    </x:row>
    <x:row r="21" ht="15" hidden="0" customHeight="1">
      <x:c r="A21" s="13" t="str">
        <x:v>合计方法运行</x:v>
      </x:c>
      <x:c r="B21" s="13"/>
      <x:c r="C21" s="13"/>
      <x:c r="D21" s="13"/>
      <x:c r="E21" s="13"/>
      <x:c r="F21" s="13"/>
      <x:c r="G21" s="13"/>
      <x:c r="H21" s="23" t="n">
        <x:f>SUM(H4:H18)</x:f>
        <x:v>141900</x:v>
      </x:c>
      <x:c r="I21" s="13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30" hidden="0" customWidth="1"/>
  </x:cols>
  <x:sheetData>
    <x:row r="1" ht="18" hidden="0" customHeight="1">
      <x:c r="A1" s="4" t="str">
        <x:v>PowerSensitivity — 配对二分类容量规划（最终以 Monte Carlo gate 为准）</x:v>
      </x:c>
      <x:c r="B1" s="4" t="str">
        <x:v>PowerSensitivity — 配对二分类容量规划（最终以 Monte Carlo gate 为准）</x:v>
      </x:c>
      <x:c r="C1" s="4" t="str">
        <x:v>PowerSensitivity — 配对二分类容量规划（最终以 Monte Carlo gate 为准）</x:v>
      </x:c>
      <x:c r="D1" s="4" t="str">
        <x:v>PowerSensitivity — 配对二分类容量规划（最终以 Monte Carlo gate 为准）</x:v>
      </x:c>
      <x:c r="E1" s="4" t="str">
        <x:v>PowerSensitivity — 配对二分类容量规划（最终以 Monte Carlo gate 为准）</x:v>
      </x:c>
      <x:c r="F1" s="4" t="str">
        <x:v>PowerSensitivity — 配对二分类容量规划（最终以 Monte Carlo gate 为准）</x:v>
      </x:c>
      <x:c r="G1" s="4" t="str">
        <x:v>PowerSensitivity — 配对二分类容量规划（最终以 Monte Carlo gate 为准）</x:v>
      </x:c>
      <x:c r="H1" s="4" t="str">
        <x:v>PowerSensitivity — 配对二分类容量规划（最终以 Monte Carlo gate 为准）</x:v>
      </x:c>
    </x:row>
    <x:row r="2"/>
    <x:row r="3" ht="15" hidden="0" customHeight="1">
      <x:c r="A3" s="10" t="str">
        <x:v>Scenario</x:v>
      </x:c>
      <x:c r="B3" s="10" t="str">
        <x:v>Δ=SESOI</x:v>
      </x:c>
      <x:c r="C3" s="10" t="str">
        <x:v>q=p10+p01</x:v>
      </x:c>
      <x:c r="D3" s="10" t="str">
        <x:v>alpha</x:v>
      </x:c>
      <x:c r="E3" s="10" t="str">
        <x:v>power</x:v>
      </x:c>
      <x:c r="F3" s="10" t="str">
        <x:v>解析 n</x:v>
      </x:c>
      <x:c r="G3" s="10" t="str">
        <x:v>含 SSR/无效率</x:v>
      </x:c>
      <x:c r="H3" s="10" t="str">
        <x:v>24 层平均</x:v>
      </x:c>
    </x:row>
    <x:row r="4" ht="15" hidden="0" customHeight="1">
      <x:c r="A4" s="13" t="str">
        <x:v>D015-Q15</x:v>
      </x:c>
      <x:c r="B4" s="27" t="n">
        <x:v>0.015</x:v>
      </x:c>
      <x:c r="C4" s="27" t="n">
        <x:v>0.15</x:v>
      </x:c>
      <x:c r="D4" s="27" t="n">
        <x:f>Inputs!B4</x:f>
        <x:v>0.025</x:v>
      </x:c>
      <x:c r="E4" s="27" t="n">
        <x:f>Inputs!B5</x:f>
        <x:v>0.9</x:v>
      </x:c>
      <x:c r="F4" s="26" t="n">
        <x:f>((NORM.S.INV(1-D4)+NORM.S.INV(E4))^2*C4/(B4^2))*Inputs!B8/(1-Inputs!B9)</x:f>
        <x:v>8479.674751338049</x:v>
      </x:c>
      <x:c r="G4" s="24" t="n">
        <x:f>ROUNDUP(F4*Inputs!B12/Inputs!B10,0)*Inputs!B10</x:f>
        <x:v>9768</x:v>
      </x:c>
      <x:c r="H4" s="26" t="n">
        <x:f>G4/Inputs!B10</x:f>
        <x:v>407</x:v>
      </x:c>
    </x:row>
    <x:row r="5" ht="15" hidden="0" customHeight="1">
      <x:c r="A5" s="13" t="str">
        <x:v>D015-Q25</x:v>
      </x:c>
      <x:c r="B5" s="27" t="n">
        <x:v>0.015</x:v>
      </x:c>
      <x:c r="C5" s="27" t="n">
        <x:v>0.25</x:v>
      </x:c>
      <x:c r="D5" s="27" t="n">
        <x:f>Inputs!B4</x:f>
        <x:v>0.025</x:v>
      </x:c>
      <x:c r="E5" s="27" t="n">
        <x:f>Inputs!B5</x:f>
        <x:v>0.9</x:v>
      </x:c>
      <x:c r="F5" s="26" t="n">
        <x:f>((NORM.S.INV(1-D5)+NORM.S.INV(E5))^2*C5/(B5^2))*Inputs!B8/(1-Inputs!B9)</x:f>
        <x:v>14132.791252230081</x:v>
      </x:c>
      <x:c r="G5" s="24" t="n">
        <x:f>ROUNDUP(F5*Inputs!B12/Inputs!B10,0)*Inputs!B10</x:f>
        <x:v>16272</x:v>
      </x:c>
      <x:c r="H5" s="26" t="n">
        <x:f>G5/Inputs!B10</x:f>
        <x:v>678</x:v>
      </x:c>
    </x:row>
    <x:row r="6" ht="15" hidden="0" customHeight="1">
      <x:c r="A6" s="13" t="str">
        <x:v>D015-Q35</x:v>
      </x:c>
      <x:c r="B6" s="27" t="n">
        <x:v>0.015</x:v>
      </x:c>
      <x:c r="C6" s="27" t="n">
        <x:v>0.35</x:v>
      </x:c>
      <x:c r="D6" s="27" t="n">
        <x:f>Inputs!B4</x:f>
        <x:v>0.025</x:v>
      </x:c>
      <x:c r="E6" s="27" t="n">
        <x:f>Inputs!B5</x:f>
        <x:v>0.9</x:v>
      </x:c>
      <x:c r="F6" s="26" t="n">
        <x:f>((NORM.S.INV(1-D6)+NORM.S.INV(E6))^2*C6/(B6^2))*Inputs!B8/(1-Inputs!B9)</x:f>
        <x:v>19785.907753122112</x:v>
      </x:c>
      <x:c r="G6" s="24" t="n">
        <x:f>ROUNDUP(F6*Inputs!B12/Inputs!B10,0)*Inputs!B10</x:f>
        <x:v>22776</x:v>
      </x:c>
      <x:c r="H6" s="26" t="n">
        <x:f>G6/Inputs!B10</x:f>
        <x:v>949</x:v>
      </x:c>
    </x:row>
    <x:row r="7" ht="15" hidden="0" customHeight="1">
      <x:c r="A7" s="13" t="str">
        <x:v>D02-Q15</x:v>
      </x:c>
      <x:c r="B7" s="27" t="n">
        <x:v>0.02</x:v>
      </x:c>
      <x:c r="C7" s="27" t="n">
        <x:v>0.15</x:v>
      </x:c>
      <x:c r="D7" s="27" t="n">
        <x:f>Inputs!B4</x:f>
        <x:v>0.025</x:v>
      </x:c>
      <x:c r="E7" s="27" t="n">
        <x:f>Inputs!B5</x:f>
        <x:v>0.9</x:v>
      </x:c>
      <x:c r="F7" s="26" t="n">
        <x:f>((NORM.S.INV(1-D7)+NORM.S.INV(E7))^2*C7/(B7^2))*Inputs!B8/(1-Inputs!B9)</x:f>
        <x:v>4769.817047627653</x:v>
      </x:c>
      <x:c r="G7" s="24" t="n">
        <x:f>ROUNDUP(F7*Inputs!B12/Inputs!B10,0)*Inputs!B10</x:f>
        <x:v>5496</x:v>
      </x:c>
      <x:c r="H7" s="26" t="n">
        <x:f>G7/Inputs!B10</x:f>
        <x:v>229</x:v>
      </x:c>
    </x:row>
    <x:row r="8" ht="15" hidden="0" customHeight="1">
      <x:c r="A8" s="13" t="str">
        <x:v>D02-Q25</x:v>
      </x:c>
      <x:c r="B8" s="27" t="n">
        <x:v>0.02</x:v>
      </x:c>
      <x:c r="C8" s="27" t="n">
        <x:v>0.25</x:v>
      </x:c>
      <x:c r="D8" s="27" t="n">
        <x:f>Inputs!B4</x:f>
        <x:v>0.025</x:v>
      </x:c>
      <x:c r="E8" s="27" t="n">
        <x:f>Inputs!B5</x:f>
        <x:v>0.9</x:v>
      </x:c>
      <x:c r="F8" s="26" t="n">
        <x:f>((NORM.S.INV(1-D8)+NORM.S.INV(E8))^2*C8/(B8^2))*Inputs!B8/(1-Inputs!B9)</x:f>
        <x:v>7949.695079379421</x:v>
      </x:c>
      <x:c r="G8" s="24" t="n">
        <x:f>ROUNDUP(F8*Inputs!B12/Inputs!B10,0)*Inputs!B10</x:f>
        <x:v>9144</x:v>
      </x:c>
      <x:c r="H8" s="26" t="n">
        <x:f>G8/Inputs!B10</x:f>
        <x:v>381</x:v>
      </x:c>
    </x:row>
    <x:row r="9" ht="15" hidden="0" customHeight="1">
      <x:c r="A9" s="13" t="str">
        <x:v>D02-Q35</x:v>
      </x:c>
      <x:c r="B9" s="27" t="n">
        <x:v>0.02</x:v>
      </x:c>
      <x:c r="C9" s="27" t="n">
        <x:v>0.35</x:v>
      </x:c>
      <x:c r="D9" s="27" t="n">
        <x:f>Inputs!B4</x:f>
        <x:v>0.025</x:v>
      </x:c>
      <x:c r="E9" s="27" t="n">
        <x:f>Inputs!B5</x:f>
        <x:v>0.9</x:v>
      </x:c>
      <x:c r="F9" s="26" t="n">
        <x:f>((NORM.S.INV(1-D9)+NORM.S.INV(E9))^2*C9/(B9^2))*Inputs!B8/(1-Inputs!B9)</x:f>
        <x:v>11129.573111131187</x:v>
      </x:c>
      <x:c r="G9" s="24" t="n">
        <x:f>ROUNDUP(F9*Inputs!B12/Inputs!B10,0)*Inputs!B10</x:f>
        <x:v>12816</x:v>
      </x:c>
      <x:c r="H9" s="26" t="n">
        <x:f>G9/Inputs!B10</x:f>
        <x:v>534</x:v>
      </x:c>
    </x:row>
    <x:row r="10" ht="15" hidden="0" customHeight="1">
      <x:c r="A10" s="13" t="str">
        <x:v>D025-Q15</x:v>
      </x:c>
      <x:c r="B10" s="27" t="n">
        <x:v>0.025</x:v>
      </x:c>
      <x:c r="C10" s="27" t="n">
        <x:v>0.15</x:v>
      </x:c>
      <x:c r="D10" s="27" t="n">
        <x:f>Inputs!B4</x:f>
        <x:v>0.025</x:v>
      </x:c>
      <x:c r="E10" s="27" t="n">
        <x:f>Inputs!B5</x:f>
        <x:v>0.9</x:v>
      </x:c>
      <x:c r="F10" s="26" t="n">
        <x:f>((NORM.S.INV(1-D10)+NORM.S.INV(E10))^2*C10/(B10^2))*Inputs!B8/(1-Inputs!B9)</x:f>
        <x:v>3052.682910481697</x:v>
      </x:c>
      <x:c r="G10" s="24" t="n">
        <x:f>ROUNDUP(F10*Inputs!B12/Inputs!B10,0)*Inputs!B10</x:f>
        <x:v>3528</x:v>
      </x:c>
      <x:c r="H10" s="26" t="n">
        <x:f>G10/Inputs!B10</x:f>
        <x:v>147</x:v>
      </x:c>
    </x:row>
    <x:row r="11" ht="15" hidden="0" customHeight="1">
      <x:c r="A11" s="13" t="str">
        <x:v>D025-Q25</x:v>
      </x:c>
      <x:c r="B11" s="27" t="n">
        <x:v>0.025</x:v>
      </x:c>
      <x:c r="C11" s="27" t="n">
        <x:v>0.25</x:v>
      </x:c>
      <x:c r="D11" s="27" t="n">
        <x:f>Inputs!B4</x:f>
        <x:v>0.025</x:v>
      </x:c>
      <x:c r="E11" s="27" t="n">
        <x:f>Inputs!B5</x:f>
        <x:v>0.9</x:v>
      </x:c>
      <x:c r="F11" s="26" t="n">
        <x:f>((NORM.S.INV(1-D11)+NORM.S.INV(E11))^2*C11/(B11^2))*Inputs!B8/(1-Inputs!B9)</x:f>
        <x:v>5087.804850802829</x:v>
      </x:c>
      <x:c r="G11" s="24" t="n">
        <x:f>ROUNDUP(F11*Inputs!B12/Inputs!B10,0)*Inputs!B10</x:f>
        <x:v>5856</x:v>
      </x:c>
      <x:c r="H11" s="26" t="n">
        <x:f>G11/Inputs!B10</x:f>
        <x:v>244</x:v>
      </x:c>
    </x:row>
    <x:row r="12" ht="15" hidden="0" customHeight="1">
      <x:c r="A12" s="13" t="str">
        <x:v>D025-Q35</x:v>
      </x:c>
      <x:c r="B12" s="27" t="n">
        <x:v>0.025</x:v>
      </x:c>
      <x:c r="C12" s="27" t="n">
        <x:v>0.35</x:v>
      </x:c>
      <x:c r="D12" s="27" t="n">
        <x:f>Inputs!B4</x:f>
        <x:v>0.025</x:v>
      </x:c>
      <x:c r="E12" s="27" t="n">
        <x:f>Inputs!B5</x:f>
        <x:v>0.9</x:v>
      </x:c>
      <x:c r="F12" s="26" t="n">
        <x:f>((NORM.S.INV(1-D12)+NORM.S.INV(E12))^2*C12/(B12^2))*Inputs!B8/(1-Inputs!B9)</x:f>
        <x:v>7122.926791123959</x:v>
      </x:c>
      <x:c r="G12" s="24" t="n">
        <x:f>ROUNDUP(F12*Inputs!B12/Inputs!B10,0)*Inputs!B10</x:f>
        <x:v>8208</x:v>
      </x:c>
      <x:c r="H12" s="26" t="n">
        <x:f>G12/Inputs!B10</x:f>
        <x:v>342</x:v>
      </x:c>
    </x:row>
    <x:row r="13" ht="15" hidden="0" customHeight="1">
      <x:c r="A13" s="13" t="str">
        <x:v>D03-Q15</x:v>
      </x:c>
      <x:c r="B13" s="27" t="n">
        <x:v>0.03</x:v>
      </x:c>
      <x:c r="C13" s="27" t="n">
        <x:v>0.15</x:v>
      </x:c>
      <x:c r="D13" s="27" t="n">
        <x:f>Inputs!B4</x:f>
        <x:v>0.025</x:v>
      </x:c>
      <x:c r="E13" s="27" t="n">
        <x:f>Inputs!B5</x:f>
        <x:v>0.9</x:v>
      </x:c>
      <x:c r="F13" s="26" t="n">
        <x:f>((NORM.S.INV(1-D13)+NORM.S.INV(E13))^2*C13/(B13^2))*Inputs!B8/(1-Inputs!B9)</x:f>
        <x:v>2119.918687834512</x:v>
      </x:c>
      <x:c r="G13" s="24" t="n">
        <x:f>ROUNDUP(F13*Inputs!B12/Inputs!B10,0)*Inputs!B10</x:f>
        <x:v>2448</x:v>
      </x:c>
      <x:c r="H13" s="26" t="n">
        <x:f>G13/Inputs!B10</x:f>
        <x:v>102</x:v>
      </x:c>
    </x:row>
    <x:row r="14" ht="15" hidden="0" customHeight="1">
      <x:c r="A14" s="13" t="str">
        <x:v>D03-Q25</x:v>
      </x:c>
      <x:c r="B14" s="27" t="n">
        <x:v>0.03</x:v>
      </x:c>
      <x:c r="C14" s="27" t="n">
        <x:v>0.25</x:v>
      </x:c>
      <x:c r="D14" s="27" t="n">
        <x:f>Inputs!B4</x:f>
        <x:v>0.025</x:v>
      </x:c>
      <x:c r="E14" s="27" t="n">
        <x:f>Inputs!B5</x:f>
        <x:v>0.9</x:v>
      </x:c>
      <x:c r="F14" s="26" t="n">
        <x:f>((NORM.S.INV(1-D14)+NORM.S.INV(E14))^2*C14/(B14^2))*Inputs!B8/(1-Inputs!B9)</x:f>
        <x:v>3533.1978130575203</x:v>
      </x:c>
      <x:c r="G14" s="24" t="n">
        <x:f>ROUNDUP(F14*Inputs!B12/Inputs!B10,0)*Inputs!B10</x:f>
        <x:v>4080</x:v>
      </x:c>
      <x:c r="H14" s="26" t="n">
        <x:f>G14/Inputs!B10</x:f>
        <x:v>170</x:v>
      </x:c>
    </x:row>
    <x:row r="15" ht="15" hidden="0" customHeight="1">
      <x:c r="A15" s="13" t="str">
        <x:v>D03-Q35</x:v>
      </x:c>
      <x:c r="B15" s="27" t="n">
        <x:v>0.03</x:v>
      </x:c>
      <x:c r="C15" s="27" t="n">
        <x:v>0.35</x:v>
      </x:c>
      <x:c r="D15" s="27" t="n">
        <x:f>Inputs!B4</x:f>
        <x:v>0.025</x:v>
      </x:c>
      <x:c r="E15" s="27" t="n">
        <x:f>Inputs!B5</x:f>
        <x:v>0.9</x:v>
      </x:c>
      <x:c r="F15" s="26" t="n">
        <x:f>((NORM.S.INV(1-D15)+NORM.S.INV(E15))^2*C15/(B15^2))*Inputs!B8/(1-Inputs!B9)</x:f>
        <x:v>4946.476938280528</x:v>
      </x:c>
      <x:c r="G15" s="24" t="n">
        <x:f>ROUNDUP(F15*Inputs!B12/Inputs!B10,0)*Inputs!B10</x:f>
        <x:v>5712</x:v>
      </x:c>
      <x:c r="H15" s="26" t="n">
        <x:f>G15/Inputs!B10</x:f>
        <x:v>238</x:v>
      </x:c>
    </x:row>
    <x:row r="16"/>
    <x:row r="17" ht="26.399999618530273" hidden="0" customHeight="1">
      <x:c r="A17" s="10" t="str">
        <x:v>Power-confirm 规则</x:v>
      </x:c>
      <x:c r="B17" s="10" t="str">
        <x:v>完整 gate</x:v>
      </x:c>
      <x:c r="C17" s="10" t="str">
        <x:v>12 个预签 nuisance 点</x:v>
      </x:c>
      <x:c r="D17" s="10" t="str">
        <x:v>MC reps/grid</x:v>
      </x:c>
      <x:c r="E17" s="10"/>
      <x:c r="F17" s="10" t="str">
        <x:v>通过阈值</x:v>
      </x:c>
      <x:c r="G17" s="10"/>
      <x:c r="H17" s="10" t="str">
        <x:v>备注</x:v>
      </x:c>
    </x:row>
    <x:row r="18" ht="26.399999618530273" hidden="0" customHeight="1">
      <x:c r="A18" s="13" t="str">
        <x:v>功效</x:v>
      </x:c>
      <x:c r="B18" s="13" t="str">
        <x:v>所有共同主终点 + no-harm</x:v>
      </x:c>
      <x:c r="C18" s="13" t="str">
        <x:v>simultaneous 95% Wilson lower</x:v>
      </x:c>
      <x:c r="D18" s="13" t="n">
        <x:f>Inputs!B13</x:f>
        <x:v>250000</x:v>
      </x:c>
      <x:c r="E18" s="13"/>
      <x:c r="F18" s="13" t="str">
        <x:v>&gt;=0.90</x:v>
      </x:c>
      <x:c r="G18" s="13"/>
      <x:c r="H18" s="13" t="str">
        <x:v>observed power 0.900 本身不够</x:v>
      </x:c>
    </x:row>
    <x:row r="19" ht="26.399999618530273" hidden="0" customHeight="1">
      <x:c r="A19" s="13" t="str">
        <x:v>I 类错误</x:v>
      </x:c>
      <x:c r="B19" s="13" t="str">
        <x:v>全局零效应/边界零假设</x:v>
      </x:c>
      <x:c r="C19" s="13" t="str">
        <x:v>simultaneous 95% Wilson upper</x:v>
      </x:c>
      <x:c r="D19" s="13" t="n">
        <x:f>Inputs!B13</x:f>
        <x:v>250000</x:v>
      </x:c>
      <x:c r="E19" s="13"/>
      <x:c r="F19" s="13" t="str">
        <x:v>&lt;=预签 alpha</x:v>
      </x:c>
      <x:c r="G19" s="13"/>
      <x:c r="H19" s="13" t="str">
        <x:v>包含完整选择与 gatekeeping</x:v>
      </x:c>
    </x:row>
    <x:row r="20" ht="26.399999618530273" hidden="0" customHeight="1">
      <x:c r="A20" s="13" t="str">
        <x:v>重估</x:v>
      </x:c>
      <x:c r="B20" s="13" t="str">
        <x:v>只用 blinded nuisance</x:v>
      </x:c>
      <x:c r="C20" s="13" t="str">
        <x:v>只上调不下调</x:v>
      </x:c>
      <x:c r="D20" s="13"/>
      <x:c r="E20" s="13"/>
      <x:c r="F20" s="13" t="str">
        <x:v>&lt;= SSR envelope</x:v>
      </x:c>
      <x:c r="G20" s="13"/>
      <x:c r="H20" s="13" t="str">
        <x:v>不得查看方法标签或效应方向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7" hidden="0" customWidth="1"/>
    <x:col min="6" max="6" width="18" hidden="0" customWidth="1"/>
    <x:col min="7" max="7" width="38" hidden="0" customWidth="1"/>
  </x:cols>
  <x:sheetData>
    <x:row r="1" ht="18" hidden="0" customHeight="1">
      <x:c r="A1" s="4" t="str">
        <x:v>PilotPrecision — 零事件上界与资格精度</x:v>
      </x:c>
      <x:c r="B1" s="4" t="str">
        <x:v>PilotPrecision — 零事件上界与资格精度</x:v>
      </x:c>
      <x:c r="C1" s="4" t="str">
        <x:v>PilotPrecision — 零事件上界与资格精度</x:v>
      </x:c>
      <x:c r="D1" s="4" t="str">
        <x:v>PilotPrecision — 零事件上界与资格精度</x:v>
      </x:c>
      <x:c r="E1" s="4" t="str">
        <x:v>PilotPrecision — 零事件上界与资格精度</x:v>
      </x:c>
      <x:c r="F1" s="4" t="str">
        <x:v>PilotPrecision — 零事件上界与资格精度</x:v>
      </x:c>
      <x:c r="G1" s="4" t="str">
        <x:v>PilotPrecision — 零事件上界与资格精度</x:v>
      </x:c>
    </x:row>
    <x:row r="2"/>
    <x:row r="3" ht="15" hidden="0" customHeight="1">
      <x:c r="A3" s="10" t="str">
        <x:v>合格独立 bundle n</x:v>
      </x:c>
      <x:c r="B3" s="10" t="str">
        <x:v>零事件 95% 上界</x:v>
      </x:c>
      <x:c r="C3" s="10" t="str">
        <x:v>零事件 99% 上界</x:v>
      </x:c>
      <x:c r="D3" s="10" t="str">
        <x:v>若观察 1 次的粗风险</x:v>
      </x:c>
      <x:c r="E3" s="10" t="str">
        <x:v>用途</x:v>
      </x:c>
      <x:c r="F3" s="10" t="str">
        <x:v>能否证明安全</x:v>
      </x:c>
      <x:c r="G3" s="10" t="str">
        <x:v>行动</x:v>
      </x:c>
    </x:row>
    <x:row r="4" ht="15" hidden="0" customHeight="1">
      <x:c r="A4" s="13" t="n">
        <x:v>20</x:v>
      </x:c>
      <x:c r="B4" s="28" t="n">
        <x:f>1-0.05^(1/A4)</x:f>
        <x:v>0.13910834066826516</x:v>
      </x:c>
      <x:c r="C4" s="28" t="n">
        <x:f>1-0.01^(1/A4)</x:f>
        <x:v>0.2056717652757185</x:v>
      </x:c>
      <x:c r="D4" s="28" t="n">
        <x:f>1/A4</x:f>
        <x:v>0.05</x:v>
      </x:c>
      <x:c r="E4" s="13" t="str">
        <x:v>尾部/失败率资格</x:v>
      </x:c>
      <x:c r="F4" s="13" t="str">
        <x:v>否</x:v>
      </x:c>
      <x:c r="G4" s="13" t="str">
        <x:v>上界高于 margin 时增加 pilot 或保留阻断</x:v>
      </x:c>
    </x:row>
    <x:row r="5" ht="15" hidden="0" customHeight="1">
      <x:c r="A5" s="13" t="n">
        <x:v>40</x:v>
      </x:c>
      <x:c r="B5" s="28" t="n">
        <x:f>1-0.05^(1/A5)</x:f>
        <x:v>0.0721575245055146</x:v>
      </x:c>
      <x:c r="C5" s="28" t="n">
        <x:f>1-0.01^(1/A5)</x:f>
        <x:v>0.10874906186625444</x:v>
      </x:c>
      <x:c r="D5" s="28" t="n">
        <x:f>1/A5</x:f>
        <x:v>0.025</x:v>
      </x:c>
      <x:c r="E5" s="13" t="str">
        <x:v>尾部/失败率资格</x:v>
      </x:c>
      <x:c r="F5" s="13" t="str">
        <x:v>否</x:v>
      </x:c>
      <x:c r="G5" s="13" t="str">
        <x:v>上界高于 margin 时增加 pilot 或保留阻断</x:v>
      </x:c>
    </x:row>
    <x:row r="6" ht="15" hidden="0" customHeight="1">
      <x:c r="A6" s="13" t="n">
        <x:v>60</x:v>
      </x:c>
      <x:c r="B6" s="28" t="n">
        <x:f>1-0.05^(1/A6)</x:f>
        <x:v>0.04870291331009746</x:v>
      </x:c>
      <x:c r="C6" s="28" t="n">
        <x:f>1-0.01^(1/A6)</x:f>
        <x:v>0.07388127187120652</x:v>
      </x:c>
      <x:c r="D6" s="28" t="n">
        <x:f>1/A6</x:f>
        <x:v>0.016666666666666666</x:v>
      </x:c>
      <x:c r="E6" s="13" t="str">
        <x:v>尾部/失败率资格</x:v>
      </x:c>
      <x:c r="F6" s="13" t="str">
        <x:v>否</x:v>
      </x:c>
      <x:c r="G6" s="13" t="str">
        <x:v>上界高于 margin 时增加 pilot 或保留阻断</x:v>
      </x:c>
    </x:row>
    <x:row r="7" ht="15" hidden="0" customHeight="1">
      <x:c r="A7" s="13" t="n">
        <x:v>100</x:v>
      </x:c>
      <x:c r="B7" s="28" t="n">
        <x:f>1-0.05^(1/A7)</x:f>
        <x:v>0.029513049607039932</x:v>
      </x:c>
      <x:c r="C7" s="28" t="n">
        <x:f>1-0.01^(1/A7)</x:f>
        <x:v>0.045007413978564004</x:v>
      </x:c>
      <x:c r="D7" s="28" t="n">
        <x:f>1/A7</x:f>
        <x:v>0.01</x:v>
      </x:c>
      <x:c r="E7" s="13" t="str">
        <x:v>尾部/失败率资格</x:v>
      </x:c>
      <x:c r="F7" s="13" t="str">
        <x:v>否</x:v>
      </x:c>
      <x:c r="G7" s="13" t="str">
        <x:v>上界高于 margin 时增加 pilot 或保留阻断</x:v>
      </x:c>
    </x:row>
    <x:row r="8" ht="15" hidden="0" customHeight="1">
      <x:c r="A8" s="13" t="n">
        <x:v>150</x:v>
      </x:c>
      <x:c r="B8" s="28" t="n">
        <x:f>1-0.05^(1/A8)</x:f>
        <x:v>0.019773438164508494</x:v>
      </x:c>
      <x:c r="C8" s="28" t="n">
        <x:f>1-0.01^(1/A8)</x:f>
        <x:v>0.030234640891750653</x:v>
      </x:c>
      <x:c r="D8" s="28" t="n">
        <x:f>1/A8</x:f>
        <x:v>0.006666666666666667</x:v>
      </x:c>
      <x:c r="E8" s="13" t="str">
        <x:v>尾部/失败率资格</x:v>
      </x:c>
      <x:c r="F8" s="13" t="str">
        <x:v>否</x:v>
      </x:c>
      <x:c r="G8" s="13" t="str">
        <x:v>上界高于 margin 时增加 pilot 或保留阻断</x:v>
      </x:c>
    </x:row>
    <x:row r="9" ht="15" hidden="0" customHeight="1">
      <x:c r="A9" s="13" t="n">
        <x:v>300</x:v>
      </x:c>
      <x:c r="B9" s="28" t="n">
        <x:f>1-0.05^(1/A9)</x:f>
        <x:v>0.00993608194445772</x:v>
      </x:c>
      <x:c r="C9" s="28" t="n">
        <x:f>1-0.01^(1/A9)</x:f>
        <x:v>0.015233347889841875</x:v>
      </x:c>
      <x:c r="D9" s="28" t="n">
        <x:f>1/A9</x:f>
        <x:v>0.0033333333333333335</x:v>
      </x:c>
      <x:c r="E9" s="13" t="str">
        <x:v>尾部/失败率资格</x:v>
      </x:c>
      <x:c r="F9" s="13" t="str">
        <x:v>否</x:v>
      </x:c>
      <x:c r="G9" s="13" t="str">
        <x:v>上界高于 margin 时增加 pilot 或保留阻断</x:v>
      </x:c>
    </x:row>
    <x:row r="10" ht="15" hidden="0" customHeight="1">
      <x:c r="A10" s="13" t="n">
        <x:v>500</x:v>
      </x:c>
      <x:c r="B10" s="28" t="n">
        <x:f>1-0.05^(1/A10)</x:f>
        <x:v>0.005973551516349596</x:v>
      </x:c>
      <x:c r="C10" s="28" t="n">
        <x:f>1-0.01^(1/A10)</x:f>
        <x:v>0.009168055107232398</x:v>
      </x:c>
      <x:c r="D10" s="28" t="n">
        <x:f>1/A10</x:f>
        <x:v>0.002</x:v>
      </x:c>
      <x:c r="E10" s="13" t="str">
        <x:v>尾部/失败率资格</x:v>
      </x:c>
      <x:c r="F10" s="13" t="str">
        <x:v>否</x:v>
      </x:c>
      <x:c r="G10" s="13" t="str">
        <x:v>上界高于 margin 时增加 pilot 或保留阻断</x:v>
      </x:c>
    </x:row>
    <x:row r="11" ht="15" hidden="0" customHeight="1">
      <x:c r="A11" s="13" t="n">
        <x:v>1000</x:v>
      </x:c>
      <x:c r="B11" s="28" t="n">
        <x:f>1-0.05^(1/A11)</x:f>
        <x:v>0.0029912495450953314</x:v>
      </x:c>
      <x:c r="C11" s="28" t="n">
        <x:f>1-0.01^(1/A11)</x:f>
        <x:v>0.004594582648473011</x:v>
      </x:c>
      <x:c r="D11" s="28" t="n">
        <x:f>1/A11</x:f>
        <x:v>0.001</x:v>
      </x:c>
      <x:c r="E11" s="13" t="str">
        <x:v>尾部/失败率资格</x:v>
      </x:c>
      <x:c r="F11" s="13" t="str">
        <x:v>否</x:v>
      </x:c>
      <x:c r="G11" s="13" t="str">
        <x:v>上界高于 margin 时增加 pilot 或保留阻断</x:v>
      </x:c>
    </x:row>
    <x:row r="12"/>
    <x:row r="13"/>
    <x:row r="14" ht="15" hidden="0" customHeight="1">
      <x:c r="A14" s="10" t="str">
        <x:v>Pilot 必须估计</x:v>
      </x:c>
      <x:c r="B14" s="10" t="str">
        <x:v>统计对象</x:v>
      </x:c>
      <x:c r="C14" s="10" t="str">
        <x:v>通过条件</x:v>
      </x:c>
      <x:c r="D14" s="10" t="str">
        <x:v>失败动作</x:v>
      </x:c>
      <x:c r="E14" s="10" t="str">
        <x:v>是否可看方法标签</x:v>
      </x:c>
      <x:c r="F14" s="10" t="str">
        <x:v>是否进入主 n</x:v>
      </x:c>
      <x:c r="G14" s="10" t="str">
        <x:v>备注</x:v>
      </x:c>
    </x:row>
    <x:row r="15" ht="15" hidden="0" customHeight="1">
      <x:c r="A15" s="13" t="str">
        <x:v>共同无效率</x:v>
      </x:c>
      <x:c r="B15" s="13" t="str">
        <x:v>physical bundle</x:v>
      </x:c>
      <x:c r="C15" s="13" t="str">
        <x:v>UCB &lt;= 预签阈值</x:v>
      </x:c>
      <x:c r="D15" s="13" t="str">
        <x:v>修 generator/场景</x:v>
      </x:c>
      <x:c r="E15" s="13" t="str">
        <x:v>否</x:v>
      </x:c>
      <x:c r="F15" s="13" t="str">
        <x:v>否</x:v>
      </x:c>
      <x:c r="G15" s="13" t="str">
        <x:v>不能按方法各删样本</x:v>
      </x:c>
    </x:row>
    <x:row r="16" ht="15" hidden="0" customHeight="1">
      <x:c r="A16" s="13" t="str">
        <x:v>配对不一致 q</x:v>
      </x:c>
      <x:c r="B16" s="13" t="str">
        <x:v>A vs 候选 G*</x:v>
      </x:c>
      <x:c r="C16" s="13" t="str">
        <x:v>区间足以支持 power grid</x:v>
      </x:c>
      <x:c r="D16" s="13" t="str">
        <x:v>扩大 pilot/扩 grid</x:v>
      </x:c>
      <x:c r="E16" s="13" t="str">
        <x:v>仅 D_select 冻结流程</x:v>
      </x:c>
      <x:c r="F16" s="13" t="str">
        <x:v>否</x:v>
      </x:c>
      <x:c r="G16" s="13" t="str">
        <x:v>不得据效应方向挑基线</x:v>
      </x:c>
    </x:row>
    <x:row r="17" ht="15" hidden="0" customHeight="1">
      <x:c r="A17" s="13" t="str">
        <x:v>ICC/尾厚</x:v>
      </x:c>
      <x:c r="B17" s="13" t="str">
        <x:v>trajectory/stratum</x:v>
      </x:c>
      <x:c r="C17" s="13" t="str">
        <x:v>设计效应包络覆盖</x:v>
      </x:c>
      <x:c r="D17" s="13" t="str">
        <x:v>增大 DE/改 estimand</x:v>
      </x:c>
      <x:c r="E17" s="13" t="str">
        <x:v>否</x:v>
      </x:c>
      <x:c r="F17" s="13" t="str">
        <x:v>否</x:v>
      </x:c>
      <x:c r="G17" s="13" t="str">
        <x:v>层间异质性进入 MC</x:v>
      </x:c>
    </x:row>
    <x:row r="18" ht="15" hidden="0" customHeight="1">
      <x:c r="A18" s="13" t="str">
        <x:v>mapper coverage</x:v>
      </x:c>
      <x:c r="B18" s="13" t="str">
        <x:v>root-level joint mapper</x:v>
      </x:c>
      <x:c r="C18" s="13" t="str">
        <x:v>校准与适用域同时通过</x:v>
      </x:c>
      <x:c r="D18" s="13" t="str">
        <x:v>ABSTAIN_MAPPING/重训</x:v>
      </x:c>
      <x:c r="E18" s="13" t="str">
        <x:v>否</x:v>
      </x:c>
      <x:c r="F18" s="13" t="str">
        <x:v>否</x:v>
      </x:c>
      <x:c r="G18" s="13" t="str">
        <x:v>共享-u 仅敏感性模型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48" hidden="0" customWidth="1"/>
  </x:cols>
  <x:sheetData>
    <x:row r="1" ht="18" hidden="0" customHeight="1">
      <x:c r="A1" s="4" t="str">
        <x:v>ResourceSummary — 勾稽后的 CPU/GPU/存储/人力包络</x:v>
      </x:c>
      <x:c r="B1" s="4" t="str">
        <x:v>ResourceSummary — 勾稽后的 CPU/GPU/存储/人力包络</x:v>
      </x:c>
      <x:c r="C1" s="4" t="str">
        <x:v>ResourceSummary — 勾稽后的 CPU/GPU/存储/人力包络</x:v>
      </x:c>
      <x:c r="D1" s="4" t="str">
        <x:v>ResourceSummary — 勾稽后的 CPU/GPU/存储/人力包络</x:v>
      </x:c>
      <x:c r="E1" s="4" t="str">
        <x:v>ResourceSummary — 勾稽后的 CPU/GPU/存储/人力包络</x:v>
      </x:c>
      <x:c r="F1" s="4" t="str">
        <x:v>ResourceSummary — 勾稽后的 CPU/GPU/存储/人力包络</x:v>
      </x:c>
    </x:row>
    <x:row r="2"/>
    <x:row r="3" ht="15" hidden="0" customHeight="1">
      <x:c r="A3" s="10" t="str">
        <x:v>资源项</x:v>
      </x:c>
      <x:c r="B3" s="10" t="str">
        <x:v>规划值</x:v>
      </x:c>
      <x:c r="C3" s="10" t="str">
        <x:v>单位</x:v>
      </x:c>
      <x:c r="D3" s="10" t="str">
        <x:v>容量</x:v>
      </x:c>
      <x:c r="E3" s="10" t="str">
        <x:v>利用率/余量</x:v>
      </x:c>
      <x:c r="F3" s="10" t="str">
        <x:v>公式解释</x:v>
      </x:c>
    </x:row>
    <x:row r="4" ht="15" hidden="0" customHeight="1">
      <x:c r="A4" s="13" t="str">
        <x:v>唯一 truth bundles</x:v>
      </x:c>
      <x:c r="B4" s="23" t="n">
        <x:f>ArmFrame!H20</x:f>
        <x:v>10100</x:v>
      </x:c>
      <x:c r="C4" s="13" t="str">
        <x:v>bundle</x:v>
      </x:c>
      <x:c r="D4" s="13"/>
      <x:c r="E4" s="13"/>
      <x:c r="F4" s="13" t="str">
        <x:v>ArmFrame H/G/B/N/E 只计一次</x:v>
      </x:c>
    </x:row>
    <x:row r="5" ht="15" hidden="0" customHeight="1">
      <x:c r="A5" s="13" t="str">
        <x:v>方法运行数</x:v>
      </x:c>
      <x:c r="B5" s="23" t="n">
        <x:f>ArmFrame!H21</x:f>
        <x:v>141900</x:v>
      </x:c>
      <x:c r="C5" s="13" t="str">
        <x:v>run</x:v>
      </x:c>
      <x:c r="D5" s="13"/>
      <x:c r="E5" s="13"/>
      <x:c r="F5" s="13" t="str">
        <x:v>arm×frame 矩阵求和</x:v>
      </x:c>
    </x:row>
    <x:row r="6" ht="15" hidden="0" customHeight="1">
      <x:c r="A6" s="13" t="str">
        <x:v>主方法 CPU</x:v>
      </x:c>
      <x:c r="B6" s="23" t="n">
        <x:f>B5*Inputs!B15/3600*Inputs!B16</x:f>
        <x:v>409.93333333333334</x:v>
      </x:c>
      <x:c r="C6" s="13" t="str">
        <x:v>CPU-h</x:v>
      </x:c>
      <x:c r="D6" s="13" t="n">
        <x:f>Inputs!B22</x:f>
        <x:v>6000</x:v>
      </x:c>
      <x:c r="E6" s="28" t="n">
        <x:f>B6/D6</x:f>
        <x:v>0.06832222222222223</x:v>
      </x:c>
      <x:c r="F6" s="13" t="str">
        <x:v>runs×秒/3600×overhead</x:v>
      </x:c>
    </x:row>
    <x:row r="7" ht="15" hidden="0" customHeight="1">
      <x:c r="A7" s="13" t="str">
        <x:v>阶段总 CPU</x:v>
      </x:c>
      <x:c r="B7" s="23" t="n">
        <x:f>SUM(Schedule!F4:F13)</x:f>
        <x:v>2049.9333333333334</x:v>
      </x:c>
      <x:c r="C7" s="13" t="str">
        <x:v>CPU-h</x:v>
      </x:c>
      <x:c r="D7" s="13" t="n">
        <x:f>Inputs!B22</x:f>
        <x:v>6000</x:v>
      </x:c>
      <x:c r="E7" s="28" t="n">
        <x:f>B7/D7</x:f>
        <x:v>0.34165555555555555</x:v>
      </x:c>
      <x:c r="F7" s="13" t="str">
        <x:v>Schedule CPU 合计；含 generator/pilot/external</x:v>
      </x:c>
    </x:row>
    <x:row r="8" ht="15" hidden="0" customHeight="1">
      <x:c r="A8" s="13" t="str">
        <x:v>阶段总 GPU</x:v>
      </x:c>
      <x:c r="B8" s="23" t="n">
        <x:f>SUM(Schedule!G4:G13)</x:f>
        <x:v>128</x:v>
      </x:c>
      <x:c r="C8" s="13" t="str">
        <x:v>GPU-h</x:v>
      </x:c>
      <x:c r="D8" s="13" t="n">
        <x:f>Inputs!B23</x:f>
        <x:v>240</x:v>
      </x:c>
      <x:c r="E8" s="28" t="n">
        <x:f>B8/D8</x:f>
        <x:v>0.5333333333333333</x:v>
      </x:c>
      <x:c r="F8" s="13" t="str">
        <x:v>主治理不以 GPU 为必要条件</x:v>
      </x:c>
    </x:row>
    <x:row r="9" ht="15" hidden="0" customHeight="1">
      <x:c r="A9" s="13" t="str">
        <x:v>truth 存储</x:v>
      </x:c>
      <x:c r="B9" s="23" t="n">
        <x:f>B4*Inputs!B17/1024</x:f>
        <x:v>789.0625</x:v>
      </x:c>
      <x:c r="C9" s="13" t="str">
        <x:v>GB</x:v>
      </x:c>
      <x:c r="D9" s="13"/>
      <x:c r="E9" s="28"/>
      <x:c r="F9" s="13" t="str">
        <x:v>unique×MB/1024</x:v>
      </x:c>
    </x:row>
    <x:row r="10" ht="15" hidden="0" customHeight="1">
      <x:c r="A10" s="13" t="str">
        <x:v>方法输出</x:v>
      </x:c>
      <x:c r="B10" s="23" t="n">
        <x:f>B5*Inputs!B18/1024/1024</x:f>
        <x:v>16.239166259765625</x:v>
      </x:c>
      <x:c r="C10" s="13" t="str">
        <x:v>GB</x:v>
      </x:c>
      <x:c r="D10" s="13"/>
      <x:c r="E10" s="28"/>
      <x:c r="F10" s="13" t="str">
        <x:v>runs×KB/1024^2</x:v>
      </x:c>
    </x:row>
    <x:row r="11" ht="15" hidden="0" customHeight="1">
      <x:c r="A11" s="13" t="str">
        <x:v>审计日志</x:v>
      </x:c>
      <x:c r="B11" s="23" t="n">
        <x:f>B5*Inputs!B19/1024/1024</x:f>
        <x:v>32.47833251953125</x:v>
      </x:c>
      <x:c r="C11" s="13" t="str">
        <x:v>GB</x:v>
      </x:c>
      <x:c r="D11" s="13"/>
      <x:c r="E11" s="28"/>
      <x:c r="F11" s="13" t="str">
        <x:v>runs×KB/1024^2</x:v>
      </x:c>
    </x:row>
    <x:row r="12" ht="15" hidden="0" customHeight="1">
      <x:c r="A12" s="13" t="str">
        <x:v>含复制总存储</x:v>
      </x:c>
      <x:c r="B12" s="23" t="n">
        <x:f>(B9+B10+B11)*Inputs!B20/1024</x:f>
        <x:v>2.0453613251447678</x:v>
      </x:c>
      <x:c r="C12" s="13" t="str">
        <x:v>TB</x:v>
      </x:c>
      <x:c r="D12" s="13" t="n">
        <x:f>Inputs!B21</x:f>
        <x:v>4</x:v>
      </x:c>
      <x:c r="E12" s="28" t="n">
        <x:f>1-B12/D12</x:f>
        <x:v>0.48865966871380806</x:v>
      </x:c>
      <x:c r="F12" s="13" t="str">
        <x:v>(truth+output+audit)×replication/1024</x:v>
      </x:c>
    </x:row>
    <x:row r="13" ht="15" hidden="0" customHeight="1">
      <x:c r="A13" s="13" t="str">
        <x:v>高包络存储</x:v>
      </x:c>
      <x:c r="B13" s="23" t="n">
        <x:f>B12*1.5</x:f>
        <x:v>3.0680419877171516</x:v>
      </x:c>
      <x:c r="C13" s="13" t="str">
        <x:v>TB</x:v>
      </x:c>
      <x:c r="D13" s="13" t="n">
        <x:f>Inputs!B21*0.75</x:f>
        <x:v>3</x:v>
      </x:c>
      <x:c r="E13" s="28" t="n">
        <x:f>1-B13/D13</x:f>
        <x:v>-0.02268066257238388</x:v>
      </x:c>
      <x:c r="F13" s="13" t="str">
        <x:v>规划值×1.5；须保留 25% 余量</x:v>
      </x:c>
    </x:row>
    <x:row r="14" ht="15" hidden="0" customHeight="1">
      <x:c r="A14" s="13" t="str">
        <x:v>总人日</x:v>
      </x:c>
      <x:c r="B14" s="23" t="n">
        <x:f>SUM(Schedule!E4:E13)</x:f>
        <x:v>314</x:v>
      </x:c>
      <x:c r="C14" s="13" t="str">
        <x:v>person-day</x:v>
      </x:c>
      <x:c r="D14" s="13"/>
      <x:c r="E14" s="28"/>
      <x:c r="F14" s="13" t="str">
        <x:v>Schedule 与 Personnel 必须相等</x:v>
      </x:c>
    </x:row>
    <x:row r="15" ht="15" hidden="0" customHeight="1">
      <x:c r="A15" s="13" t="str">
        <x:v>正式执行</x:v>
      </x:c>
      <x:c r="B15" s="23" t="n">
        <x:f>Inputs!B24</x:f>
        <x:v>24</x:v>
      </x:c>
      <x:c r="C15" s="13" t="str">
        <x:v>week</x:v>
      </x:c>
      <x:c r="D15" s="13" t="n">
        <x:f>Inputs!B24</x:f>
        <x:v>24</x:v>
      </x:c>
      <x:c r="E15" s="28" t="n">
        <x:f>B15/D15</x:f>
        <x:v>1</x:v>
      </x:c>
      <x:c r="F15" s="13" t="str">
        <x:v>G0–G9</x:v>
      </x:c>
    </x:row>
    <x:row r="16" ht="15" hidden="0" customHeight="1">
      <x:c r="A16" s="13" t="str">
        <x:v>工程缓冲</x:v>
      </x:c>
      <x:c r="B16" s="23" t="n">
        <x:f>Inputs!B25</x:f>
        <x:v>4</x:v>
      </x:c>
      <x:c r="C16" s="13" t="str">
        <x:v>week</x:v>
      </x:c>
      <x:c r="D16" s="13" t="n">
        <x:f>Inputs!B25</x:f>
        <x:v>4</x:v>
      </x:c>
      <x:c r="E16" s="28" t="n">
        <x:f>B16/D16</x:f>
        <x:v>1</x:v>
      </x:c>
      <x:c r="F16" s="13" t="str">
        <x:v>不可用于事后改主张</x:v>
      </x:c>
    </x:row>
    <x:row r="17" ht="15" hidden="0" customHeight="1">
      <x:c r="A17" s="13" t="str">
        <x:v>算术勾稽</x:v>
      </x:c>
      <x:c r="B17" s="29" t="str">
        <x:f>IF(AND(B14=Personnel!E14,B7=Schedule!F15,B8=Schedule!G15,MAX(Schedule!C4:C13)=Inputs!B24,Schedule!B16=Inputs!B24+1,Schedule!C16=Inputs!B24+Inputs!B25),"PASS","FAIL")</x:f>
        <x:v>PASS</x:v>
      </x:c>
      <x:c r="C17" s="13" t="str">
        <x:v>PASS/FAIL</x:v>
      </x:c>
      <x:c r="D17" s="13"/>
      <x:c r="E17" s="13"/>
      <x:c r="F17" s="13" t="str">
        <x:v>人日、CPU/GPU、存储与周数是否跨表一致</x:v>
      </x:c>
    </x:row>
    <x:row r="18" ht="15" hidden="0" customHeight="1">
      <x:c r="A18" s="13" t="str">
        <x:v>资源容量门</x:v>
      </x:c>
      <x:c r="B18" s="14" t="str">
        <x:f>IF(AND(B7&lt;=Inputs!B22,B8&lt;=Inputs!B23,B13&lt;=Inputs!B21*0.75),"PASS","FAIL")</x:f>
        <x:v>FAIL</x:v>
      </x:c>
      <x:c r="C18" s="13" t="str">
        <x:v>PASS/FAIL</x:v>
      </x:c>
      <x:c r="D18" s="13"/>
      <x:c r="E18" s="13"/>
      <x:c r="F18" s="13" t="str">
        <x:v>CPU/GPU 与高包络存储均须留足资源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38" hidden="0" customWidth="1"/>
  </x:cols>
  <x:sheetData>
    <x:row r="1" ht="18" hidden="0" customHeight="1">
      <x:c r="A1" s="4" t="str">
        <x:v>Schedule — 24 周执行 + 4 周工程缓冲</x:v>
      </x:c>
      <x:c r="B1" s="4" t="str">
        <x:v>Schedule — 24 周执行 + 4 周工程缓冲</x:v>
      </x:c>
      <x:c r="C1" s="4" t="str">
        <x:v>Schedule — 24 周执行 + 4 周工程缓冲</x:v>
      </x:c>
      <x:c r="D1" s="4" t="str">
        <x:v>Schedule — 24 周执行 + 4 周工程缓冲</x:v>
      </x:c>
      <x:c r="E1" s="4" t="str">
        <x:v>Schedule — 24 周执行 + 4 周工程缓冲</x:v>
      </x:c>
      <x:c r="F1" s="4" t="str">
        <x:v>Schedule — 24 周执行 + 4 周工程缓冲</x:v>
      </x:c>
      <x:c r="G1" s="4" t="str">
        <x:v>Schedule — 24 周执行 + 4 周工程缓冲</x:v>
      </x:c>
      <x:c r="H1" s="4" t="str">
        <x:v>Schedule — 24 周执行 + 4 周工程缓冲</x:v>
      </x:c>
      <x:c r="I1" s="4" t="str">
        <x:v>Schedule — 24 周执行 + 4 周工程缓冲</x:v>
      </x:c>
    </x:row>
    <x:row r="2"/>
    <x:row r="3" ht="15" hidden="0" customHeight="1">
      <x:c r="A3" s="10" t="str">
        <x:v>Gate</x:v>
      </x:c>
      <x:c r="B3" s="10" t="str">
        <x:v>开始周</x:v>
      </x:c>
      <x:c r="C3" s="10" t="str">
        <x:v>结束周</x:v>
      </x:c>
      <x:c r="D3" s="10" t="str">
        <x:v>退出条件</x:v>
      </x:c>
      <x:c r="E3" s="10" t="str">
        <x:v>人日</x:v>
      </x:c>
      <x:c r="F3" s="10" t="str">
        <x:v>CPU-h</x:v>
      </x:c>
      <x:c r="G3" s="10" t="str">
        <x:v>GPU-h</x:v>
      </x:c>
      <x:c r="H3" s="10" t="str">
        <x:v>确认性 test 可见?</x:v>
      </x:c>
      <x:c r="I3" s="10" t="str">
        <x:v>停止/回退</x:v>
      </x:c>
    </x:row>
    <x:row r="4" ht="15" hidden="0" customHeight="1">
      <x:c r="A4" s="13" t="str">
        <x:v>G0 合同/P0</x:v>
      </x:c>
      <x:c r="B4" s="13" t="n">
        <x:v>1</x:v>
      </x:c>
      <x:c r="C4" s="13" t="n">
        <x:v>2</x:v>
      </x:c>
      <x:c r="D4" s="13" t="str">
        <x:v>版本、claim、action/reason、manifest 一致</x:v>
      </x:c>
      <x:c r="E4" s="13" t="n">
        <x:v>28</x:v>
      </x:c>
      <x:c r="F4" s="13" t="n">
        <x:v>20</x:v>
      </x:c>
      <x:c r="G4" s="13" t="n">
        <x:v>0</x:v>
      </x:c>
      <x:c r="H4" s="13" t="str">
        <x:v>否</x:v>
      </x:c>
      <x:c r="I4" s="13" t="str">
        <x:v>不一致则停在设计</x:v>
      </x:c>
    </x:row>
    <x:row r="5" ht="15" hidden="0" customHeight="1">
      <x:c r="A5" s="13" t="str">
        <x:v>G1 生成器/隔离</x:v>
      </x:c>
      <x:c r="B5" s="13" t="n">
        <x:v>1</x:v>
      </x:c>
      <x:c r="C5" s="13" t="n">
        <x:v>4</x:v>
      </x:c>
      <x:c r="D5" s="13" t="str">
        <x:v>physical seed 改真值；label/truth 物理隔离</x:v>
      </x:c>
      <x:c r="E5" s="13" t="n">
        <x:v>46</x:v>
      </x:c>
      <x:c r="F5" s="13" t="n">
        <x:v>300</x:v>
      </x:c>
      <x:c r="G5" s="13" t="n">
        <x:v>8</x:v>
      </x:c>
      <x:c r="H5" s="13" t="str">
        <x:v>否</x:v>
      </x:c>
      <x:c r="I5" s="13" t="str">
        <x:v>泄漏或伪独立则重构</x:v>
      </x:c>
    </x:row>
    <x:row r="6" ht="15" hidden="0" customHeight="1">
      <x:c r="A6" s="13" t="str">
        <x:v>G2 参考实现/资格</x:v>
      </x:c>
      <x:c r="B6" s="13" t="n">
        <x:v>2</x:v>
      </x:c>
      <x:c r="C6" s="13" t="n">
        <x:v>6</x:v>
      </x:c>
      <x:c r="D6" s="13" t="str">
        <x:v>P0-C/P0-V + 双实现等价</x:v>
      </x:c>
      <x:c r="E6" s="13" t="n">
        <x:v>52</x:v>
      </x:c>
      <x:c r="F6" s="13" t="n">
        <x:v>180</x:v>
      </x:c>
      <x:c r="G6" s="13" t="n">
        <x:v>24</x:v>
      </x:c>
      <x:c r="H6" s="13" t="str">
        <x:v>否</x:v>
      </x:c>
      <x:c r="I6" s="13" t="str">
        <x:v>任一不变量失败则阻断</x:v>
      </x:c>
    </x:row>
    <x:row r="7" ht="15" hidden="0" customHeight="1">
      <x:c r="A7" s="13" t="str">
        <x:v>G3 场景/arm 冻结</x:v>
      </x:c>
      <x:c r="B7" s="13" t="n">
        <x:v>4</x:v>
      </x:c>
      <x:c r="C7" s="13" t="n">
        <x:v>7</x:v>
      </x:c>
      <x:c r="D7" s="13" t="str">
        <x:v>24 层资格；D_select、G*、arm×frame 密封</x:v>
      </x:c>
      <x:c r="E7" s="13" t="n">
        <x:v>38</x:v>
      </x:c>
      <x:c r="F7" s="13" t="n">
        <x:v>60</x:v>
      </x:c>
      <x:c r="G7" s="13" t="n">
        <x:v>0</x:v>
      </x:c>
      <x:c r="H7" s="13" t="str">
        <x:v>否</x:v>
      </x:c>
      <x:c r="I7" s="13" t="str">
        <x:v>不可达层升版删除</x:v>
      </x:c>
    </x:row>
    <x:row r="8" ht="15" hidden="0" customHeight="1">
      <x:c r="A8" s="13" t="str">
        <x:v>G4 独立 pilot</x:v>
      </x:c>
      <x:c r="B8" s="13" t="n">
        <x:v>7</x:v>
      </x:c>
      <x:c r="C8" s="13" t="n">
        <x:v>10</x:v>
      </x:c>
      <x:c r="D8" s="13" t="str">
        <x:v>coverage、ICC、q、共同无效率、尾部合格</x:v>
      </x:c>
      <x:c r="E8" s="13" t="n">
        <x:v>42</x:v>
      </x:c>
      <x:c r="F8" s="13" t="n">
        <x:v>420</x:v>
      </x:c>
      <x:c r="G8" s="13" t="n">
        <x:v>32</x:v>
      </x:c>
      <x:c r="H8" s="13" t="str">
        <x:v>否</x:v>
      </x:c>
      <x:c r="I8" s="13" t="str">
        <x:v>扩大 pilot 或改设计</x:v>
      </x:c>
    </x:row>
    <x:row r="9" ht="15" hidden="0" customHeight="1">
      <x:c r="A9" s="13" t="str">
        <x:v>G5 power-confirm/密封</x:v>
      </x:c>
      <x:c r="B9" s="13" t="n">
        <x:v>11</x:v>
      </x:c>
      <x:c r="C9" s="13" t="n">
        <x:v>12</x:v>
      </x:c>
      <x:c r="D9" s="13" t="str">
        <x:v>simultaneous power/type-I + Allocation/TestManifest</x:v>
      </x:c>
      <x:c r="E9" s="13" t="n">
        <x:v>24</x:v>
      </x:c>
      <x:c r="F9" s="13" t="n">
        <x:v>120</x:v>
      </x:c>
      <x:c r="G9" s="13" t="n">
        <x:v>0</x:v>
      </x:c>
      <x:c r="H9" s="13" t="str">
        <x:v>否</x:v>
      </x:c>
      <x:c r="I9" s="13" t="str">
        <x:v>增加 n/扩 grid/降主张</x:v>
      </x:c>
    </x:row>
    <x:row r="10" ht="15" hidden="0" customHeight="1">
      <x:c r="A10" s="13" t="str">
        <x:v>G6 确认性生成</x:v>
      </x:c>
      <x:c r="B10" s="13" t="n">
        <x:v>13</x:v>
      </x:c>
      <x:c r="C10" s="13" t="n">
        <x:v>16</x:v>
      </x:c>
      <x:c r="D10" s="13" t="str">
        <x:v>单次密封 test；共享 truth hash；零选择性重跑</x:v>
      </x:c>
      <x:c r="E10" s="13" t="n">
        <x:v>25</x:v>
      </x:c>
      <x:c r="F10" s="13" t="n">
        <x:f>ResourceSummary!B6</x:f>
        <x:v>409.93333333333334</x:v>
      </x:c>
      <x:c r="G10" s="13" t="n">
        <x:v>48</x:v>
      </x:c>
      <x:c r="H10" s="13" t="str">
        <x:v>是</x:v>
      </x:c>
      <x:c r="I10" s="13" t="str">
        <x:v>系统失败按预签规则</x:v>
      </x:c>
    </x:row>
    <x:row r="11" ht="15" hidden="0" customHeight="1">
      <x:c r="A11" s="13" t="str">
        <x:v>G7 锁定分析</x:v>
      </x:c>
      <x:c r="B11" s="13" t="n">
        <x:v>17</x:v>
      </x:c>
      <x:c r="C11" s="13" t="n">
        <x:v>18</x:v>
      </x:c>
      <x:c r="D11" s="13" t="str">
        <x:v>paired estimand、no-harm、敏感性与审计表</x:v>
      </x:c>
      <x:c r="E11" s="13" t="n">
        <x:v>22</x:v>
      </x:c>
      <x:c r="F11" s="13" t="n">
        <x:v>140</x:v>
      </x:c>
      <x:c r="G11" s="13" t="n">
        <x:v>0</x:v>
      </x:c>
      <x:c r="H11" s="13" t="str">
        <x:v>是</x:v>
      </x:c>
      <x:c r="I11" s="13" t="str">
        <x:v>失败主张降级</x:v>
      </x:c>
    </x:row>
    <x:row r="12" ht="15" hidden="0" customHeight="1">
      <x:c r="A12" s="13" t="str">
        <x:v>G8 外部支持</x:v>
      </x:c>
      <x:c r="B12" s="13" t="n">
        <x:v>17</x:v>
      </x:c>
      <x:c r="C12" s="13" t="n">
        <x:v>20</x:v>
      </x:c>
      <x:c r="D12" s="13" t="str">
        <x:v>独立模拟器/TEP/unseen/shadow-HIL</x:v>
      </x:c>
      <x:c r="E12" s="13" t="n">
        <x:v>18</x:v>
      </x:c>
      <x:c r="F12" s="13" t="n">
        <x:v>360</x:v>
      </x:c>
      <x:c r="G12" s="13" t="n">
        <x:v>16</x:v>
      </x:c>
      <x:c r="H12" s="13" t="str">
        <x:v>仅外部</x:v>
      </x:c>
      <x:c r="I12" s="13" t="str">
        <x:v>不补救主结果</x:v>
      </x:c>
    </x:row>
    <x:row r="13" ht="15" hidden="0" customHeight="1">
      <x:c r="A13" s="13" t="str">
        <x:v>G9 投稿包</x:v>
      </x:c>
      <x:c r="B13" s="13" t="n">
        <x:v>21</x:v>
      </x:c>
      <x:c r="C13" s="13" t="n">
        <x:v>24</x:v>
      </x:c>
      <x:c r="D13" s="13" t="str">
        <x:v>主文/S1/S2/代码/数据卡/cover letter 一致</x:v>
      </x:c>
      <x:c r="E13" s="13" t="n">
        <x:v>19</x:v>
      </x:c>
      <x:c r="F13" s="13" t="n">
        <x:v>40</x:v>
      </x:c>
      <x:c r="G13" s="13" t="n">
        <x:v>0</x:v>
      </x:c>
      <x:c r="H13" s="13" t="str">
        <x:v>是</x:v>
      </x:c>
      <x:c r="I13" s="13" t="str">
        <x:v>未闭门不投稿</x:v>
      </x:c>
    </x:row>
    <x:row r="14" ht="15" hidden="0" customHeight="1">
      <x:c r="A14" s="13"/>
      <x:c r="B14" s="13"/>
      <x:c r="C14" s="13"/>
      <x:c r="D14" s="13"/>
      <x:c r="E14" s="13"/>
      <x:c r="F14" s="13"/>
      <x:c r="G14" s="13"/>
      <x:c r="H14" s="13"/>
      <x:c r="I14" s="13"/>
    </x:row>
    <x:row r="15" ht="15" hidden="0" customHeight="1">
      <x:c r="A15" s="13" t="str">
        <x:v>正式执行合计</x:v>
      </x:c>
      <x:c r="B15" s="13"/>
      <x:c r="C15" s="13" t="n">
        <x:f>MAX(C4:C13)</x:f>
        <x:v>24</x:v>
      </x:c>
      <x:c r="D15" s="13"/>
      <x:c r="E15" s="23" t="n">
        <x:f>SUM(E4:E13)</x:f>
        <x:v>314</x:v>
      </x:c>
      <x:c r="F15" s="23" t="n">
        <x:f>SUM(F4:F13)</x:f>
        <x:v>2049.9333333333334</x:v>
      </x:c>
      <x:c r="G15" s="23" t="n">
        <x:f>SUM(G4:G13)</x:f>
        <x:v>128</x:v>
      </x:c>
      <x:c r="H15" s="13"/>
      <x:c r="I15" s="13" t="str"/>
    </x:row>
    <x:row r="16" ht="15" hidden="0" customHeight="1">
      <x:c r="A16" s="13" t="str">
        <x:v>缓冲</x:v>
      </x:c>
      <x:c r="B16" s="13" t="n">
        <x:v>25</x:v>
      </x:c>
      <x:c r="C16" s="13" t="n">
        <x:v>28</x:v>
      </x:c>
      <x:c r="D16" s="13" t="str">
        <x:v>仅吸收工程/排队风险</x:v>
      </x:c>
      <x:c r="E16" s="13" t="n">
        <x:v>0</x:v>
      </x:c>
      <x:c r="F16" s="13" t="n">
        <x:v>0</x:v>
      </x:c>
      <x:c r="G16" s="13" t="n">
        <x:v>0</x:v>
      </x:c>
      <x:c r="H16" s="13" t="str">
        <x:v>否</x:v>
      </x:c>
      <x:c r="I16" s="13" t="str">
        <x:v>不得解封新主张或替换基线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14" hidden="0" customWidth="1"/>
    <x:col min="5" max="5" width="14" hidden="0" customWidth="1"/>
    <x:col min="6" max="6" width="38" hidden="0" customWidth="1"/>
    <x:col min="7" max="7" width="38" hidden="0" customWidth="1"/>
  </x:cols>
  <x:sheetData>
    <x:row r="1" ht="18" hidden="0" customHeight="1">
      <x:c r="A1" s="4" t="str">
        <x:v>Personnel — 角色、独立性与人日承诺</x:v>
      </x:c>
      <x:c r="B1" s="4" t="str">
        <x:v>Personnel — 角色、独立性与人日承诺</x:v>
      </x:c>
      <x:c r="C1" s="4" t="str">
        <x:v>Personnel — 角色、独立性与人日承诺</x:v>
      </x:c>
      <x:c r="D1" s="4" t="str">
        <x:v>Personnel — 角色、独立性与人日承诺</x:v>
      </x:c>
      <x:c r="E1" s="4" t="str">
        <x:v>Personnel — 角色、独立性与人日承诺</x:v>
      </x:c>
      <x:c r="F1" s="4" t="str">
        <x:v>Personnel — 角色、独立性与人日承诺</x:v>
      </x:c>
      <x:c r="G1" s="4" t="str">
        <x:v>Personnel — 角色、独立性与人日承诺</x:v>
      </x:c>
    </x:row>
    <x:row r="2"/>
    <x:row r="3" ht="15" hidden="0" customHeight="1">
      <x:c r="A3" s="10" t="str">
        <x:v>角色</x:v>
      </x:c>
      <x:c r="B3" s="10" t="str">
        <x:v>人数</x:v>
      </x:c>
      <x:c r="C3" s="10" t="str">
        <x:v>人日/人</x:v>
      </x:c>
      <x:c r="D3" s="10" t="str">
        <x:v>计划人日</x:v>
      </x:c>
      <x:c r="E3" s="10" t="str">
        <x:v>合计人日</x:v>
      </x:c>
      <x:c r="F3" s="10" t="str">
        <x:v>独立性/职责</x:v>
      </x:c>
      <x:c r="G3" s="10" t="str">
        <x:v>不可兼任约束</x:v>
      </x:c>
    </x:row>
    <x:row r="4" ht="15" hidden="0" customHeight="1">
      <x:c r="A4" s="13" t="str">
        <x:v>PI/主笔</x:v>
      </x:c>
      <x:c r="B4" s="13" t="n">
        <x:v>1</x:v>
      </x:c>
      <x:c r="C4" s="13" t="n">
        <x:v>28</x:v>
      </x:c>
      <x:c r="D4" s="23" t="n">
        <x:f>B4*C4</x:f>
        <x:v>28</x:v>
      </x:c>
      <x:c r="E4" s="23" t="n">
        <x:f>D4</x:f>
        <x:v>28</x:v>
      </x:c>
      <x:c r="F4" s="13" t="str">
        <x:v>主张、版本与投稿包</x:v>
      </x:c>
      <x:c r="G4" s="13" t="str">
        <x:v>不得单独裁决安全 oracle</x:v>
      </x:c>
    </x:row>
    <x:row r="5" ht="15" hidden="0" customHeight="1">
      <x:c r="A5" s="13" t="str">
        <x:v>融合方法科学家</x:v>
      </x:c>
      <x:c r="B5" s="13" t="n">
        <x:v>1</x:v>
      </x:c>
      <x:c r="C5" s="13" t="n">
        <x:v>56</x:v>
      </x:c>
      <x:c r="D5" s="23" t="n">
        <x:f>B5*C5</x:f>
        <x:v>56</x:v>
      </x:c>
      <x:c r="E5" s="23" t="n">
        <x:f>D5</x:f>
        <x:v>56</x:v>
      </x:c>
      <x:c r="F5" s="13" t="str">
        <x:v>治理/融合/证明</x:v>
      </x:c>
      <x:c r="G5" s="13" t="str">
        <x:v>不得担任独立实现 C 的唯一作者</x:v>
      </x:c>
    </x:row>
    <x:row r="6" ht="15" hidden="0" customHeight="1">
      <x:c r="A6" s="13" t="str">
        <x:v>过程安全专家</x:v>
      </x:c>
      <x:c r="B6" s="13" t="n">
        <x:v>1</x:v>
      </x:c>
      <x:c r="C6" s="13" t="n">
        <x:v>42</x:v>
      </x:c>
      <x:c r="D6" s="23" t="n">
        <x:f>B6*C6</x:f>
        <x:v>42</x:v>
      </x:c>
      <x:c r="E6" s="23" t="n">
        <x:f>D6</x:f>
        <x:v>42</x:v>
      </x:c>
      <x:c r="F6" s="13" t="str">
        <x:v>场景、barrier、ActionTruth</x:v>
      </x:c>
      <x:c r="G6" s="13" t="str">
        <x:v>不得看 test 后改 oracle</x:v>
      </x:c>
    </x:row>
    <x:row r="7" ht="15" hidden="0" customHeight="1">
      <x:c r="A7" s="13" t="str">
        <x:v>统计学负责人</x:v>
      </x:c>
      <x:c r="B7" s="13" t="n">
        <x:v>1</x:v>
      </x:c>
      <x:c r="C7" s="13" t="n">
        <x:v>32</x:v>
      </x:c>
      <x:c r="D7" s="23" t="n">
        <x:f>B7*C7</x:f>
        <x:v>32</x:v>
      </x:c>
      <x:c r="E7" s="23" t="n">
        <x:f>D7</x:f>
        <x:v>32</x:v>
      </x:c>
      <x:c r="F7" s="13" t="str">
        <x:v>estimand/power/gate/分析锁定</x:v>
      </x:c>
      <x:c r="G7" s="13" t="str">
        <x:v>不得兼任 D_select 结果裁决</x:v>
      </x:c>
    </x:row>
    <x:row r="8" ht="15" hidden="0" customHeight="1">
      <x:c r="A8" s="13" t="str">
        <x:v>ML/数据工程</x:v>
      </x:c>
      <x:c r="B8" s="13" t="n">
        <x:v>1</x:v>
      </x:c>
      <x:c r="C8" s="13" t="n">
        <x:v>44</x:v>
      </x:c>
      <x:c r="D8" s="23" t="n">
        <x:f>B8*C8</x:f>
        <x:v>44</x:v>
      </x:c>
      <x:c r="E8" s="23" t="n">
        <x:f>D8</x:f>
        <x:v>44</x:v>
      </x:c>
      <x:c r="F8" s="13" t="str">
        <x:v>mapper、数据隔离、外部数据</x:v>
      </x:c>
      <x:c r="G8" s="13" t="str">
        <x:v>不得把标签写入 method payload</x:v>
      </x:c>
    </x:row>
    <x:row r="9" ht="15" hidden="0" customHeight="1">
      <x:c r="A9" s="13" t="str">
        <x:v>软件/基础设施</x:v>
      </x:c>
      <x:c r="B9" s="13" t="n">
        <x:v>1</x:v>
      </x:c>
      <x:c r="C9" s="13" t="n">
        <x:v>56</x:v>
      </x:c>
      <x:c r="D9" s="23" t="n">
        <x:f>B9*C9</x:f>
        <x:v>56</x:v>
      </x:c>
      <x:c r="E9" s="23" t="n">
        <x:f>D9</x:f>
        <x:v>56</x:v>
      </x:c>
      <x:c r="F9" s="13" t="str">
        <x:v>reference impl、容器、重放/故障注入</x:v>
      </x:c>
      <x:c r="G9" s="13" t="str">
        <x:v>不得自行豁免失败运行</x:v>
      </x:c>
    </x:row>
    <x:row r="10" ht="15" hidden="0" customHeight="1">
      <x:c r="A10" s="13" t="str">
        <x:v>独立安全复核 A</x:v>
      </x:c>
      <x:c r="B10" s="13" t="n">
        <x:v>1</x:v>
      </x:c>
      <x:c r="C10" s="13" t="n">
        <x:v>10</x:v>
      </x:c>
      <x:c r="D10" s="23" t="n">
        <x:f>B10*C10</x:f>
        <x:v>10</x:v>
      </x:c>
      <x:c r="E10" s="23" t="n">
        <x:f>D10</x:f>
        <x:v>10</x:v>
      </x:c>
      <x:c r="F10" s="13" t="str">
        <x:v>场景/禁用动作签署</x:v>
      </x:c>
      <x:c r="G10" s="13" t="str">
        <x:v>与 B 独立</x:v>
      </x:c>
    </x:row>
    <x:row r="11" ht="15" hidden="0" customHeight="1">
      <x:c r="A11" s="13" t="str">
        <x:v>独立安全复核 B</x:v>
      </x:c>
      <x:c r="B11" s="13" t="n">
        <x:v>1</x:v>
      </x:c>
      <x:c r="C11" s="13" t="n">
        <x:v>10</x:v>
      </x:c>
      <x:c r="D11" s="23" t="n">
        <x:f>B11*C11</x:f>
        <x:v>10</x:v>
      </x:c>
      <x:c r="E11" s="23" t="n">
        <x:f>D11</x:f>
        <x:v>10</x:v>
      </x:c>
      <x:c r="F11" s="13" t="str">
        <x:v>场景/禁用动作签署</x:v>
      </x:c>
      <x:c r="G11" s="13" t="str">
        <x:v>与 A 独立</x:v>
      </x:c>
    </x:row>
    <x:row r="12" ht="15" hidden="0" customHeight="1">
      <x:c r="A12" s="13" t="str">
        <x:v>研究助理</x:v>
      </x:c>
      <x:c r="B12" s="13" t="n">
        <x:v>1</x:v>
      </x:c>
      <x:c r="C12" s="13" t="n">
        <x:v>36</x:v>
      </x:c>
      <x:c r="D12" s="23" t="n">
        <x:f>B12*C12</x:f>
        <x:v>36</x:v>
      </x:c>
      <x:c r="E12" s="23" t="n">
        <x:f>D12</x:f>
        <x:v>36</x:v>
      </x:c>
      <x:c r="F12" s="13" t="str">
        <x:v>执行、审计、数据卡</x:v>
      </x:c>
      <x:c r="G12" s="13" t="str">
        <x:v>无权解封 test</x:v>
      </x:c>
    </x:row>
    <x:row r="13" ht="15" hidden="0" customHeight="1">
      <x:c r="A13" s="13"/>
      <x:c r="B13" s="13"/>
      <x:c r="C13" s="13"/>
      <x:c r="D13" s="23"/>
      <x:c r="E13" s="23"/>
      <x:c r="F13" s="13"/>
      <x:c r="G13" s="13"/>
    </x:row>
    <x:row r="14" ht="15" hidden="0" customHeight="1">
      <x:c r="A14" s="13" t="str">
        <x:v>合计</x:v>
      </x:c>
      <x:c r="B14" s="13"/>
      <x:c r="C14" s="13"/>
      <x:c r="D14" s="23"/>
      <x:c r="E14" s="23" t="n">
        <x:f>SUM(E4:E12)</x:f>
        <x:v>314</x:v>
      </x:c>
      <x:c r="F14" s="13" t="str">
        <x:v>Schedule 必须精确相等</x:v>
      </x:c>
      <x:c r="G14" s="13" t="str"/>
    </x:row>
    <x:row r="15" ht="15" hidden="0" customHeight="1">
      <x:c r="A15" s="13"/>
      <x:c r="B15" s="13"/>
      <x:c r="C15" s="13"/>
      <x:c r="D15" s="13"/>
      <x:c r="E15" s="13"/>
      <x:c r="F15" s="13"/>
      <x:c r="G15" s="13"/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40" hidden="0" customWidth="1"/>
    <x:col min="5" max="5" width="18" hidden="0" customWidth="1"/>
    <x:col min="6" max="6" width="14" hidden="0" customWidth="1"/>
    <x:col min="7" max="7" width="34" hidden="0" customWidth="1"/>
  </x:cols>
  <x:sheetData>
    <x:row r="1" ht="18" hidden="0" customHeight="1">
      <x:c r="A1" s="4" t="str">
        <x:v>Blockers — 确认性数据解封前必须全部关闭</x:v>
      </x:c>
      <x:c r="B1" s="4" t="str">
        <x:v>Blockers — 确认性数据解封前必须全部关闭</x:v>
      </x:c>
      <x:c r="C1" s="4" t="str">
        <x:v>Blockers — 确认性数据解封前必须全部关闭</x:v>
      </x:c>
      <x:c r="D1" s="4" t="str">
        <x:v>Blockers — 确认性数据解封前必须全部关闭</x:v>
      </x:c>
      <x:c r="E1" s="4" t="str">
        <x:v>Blockers — 确认性数据解封前必须全部关闭</x:v>
      </x:c>
      <x:c r="F1" s="4" t="str">
        <x:v>Blockers — 确认性数据解封前必须全部关闭</x:v>
      </x:c>
      <x:c r="G1" s="4" t="str">
        <x:v>Blockers — 确认性数据解封前必须全部关闭</x:v>
      </x:c>
    </x:row>
    <x:row r="2"/>
    <x:row r="3" ht="15" hidden="0" customHeight="1">
      <x:c r="A3" s="10" t="str">
        <x:v>ID</x:v>
      </x:c>
      <x:c r="B3" s="10" t="str">
        <x:v>阻断项</x:v>
      </x:c>
      <x:c r="C3" s="10" t="str">
        <x:v>当前状态</x:v>
      </x:c>
      <x:c r="D3" s="10" t="str">
        <x:v>完成证据</x:v>
      </x:c>
      <x:c r="E3" s="10" t="str">
        <x:v>Owner</x:v>
      </x:c>
      <x:c r="F3" s="10" t="str">
        <x:v>最晚 Gate</x:v>
      </x:c>
      <x:c r="G3" s="10" t="str">
        <x:v>未关闭动作</x:v>
      </x:c>
    </x:row>
    <x:row r="4" ht="15" hidden="0" customHeight="1">
      <x:c r="A4" s="13" t="str">
        <x:v>B01</x:v>
      </x:c>
      <x:c r="B4" s="13" t="str">
        <x:v>v20.1 reference implementation 与 P0 性质测试</x:v>
      </x:c>
      <x:c r="C4" s="14" t="str">
        <x:v>OPEN</x:v>
      </x:c>
      <x:c r="D4" s="13" t="str">
        <x:v>CI 报告 + container digest</x:v>
      </x:c>
      <x:c r="E4" s="13" t="str">
        <x:v>软件/融合</x:v>
      </x:c>
      <x:c r="F4" s="13" t="str">
        <x:v>G2</x:v>
      </x:c>
      <x:c r="G4" s="13" t="str">
        <x:v>禁止确认性生成</x:v>
      </x:c>
    </x:row>
    <x:row r="5" ht="15" hidden="0" customHeight="1">
      <x:c r="A5" s="13" t="str">
        <x:v>B02</x:v>
      </x:c>
      <x:c r="B5" s="13" t="str">
        <x:v>physical seed 改变真实动力学而非仅观测噪声</x:v>
      </x:c>
      <x:c r="C5" s="14" t="str">
        <x:v>OPEN</x:v>
      </x:c>
      <x:c r="D5" s="13" t="str">
        <x:v>generator property tests + truth hashes</x:v>
      </x:c>
      <x:c r="E5" s="13" t="str">
        <x:v>数据/过程</x:v>
      </x:c>
      <x:c r="F5" s="13" t="str">
        <x:v>G1</x:v>
      </x:c>
      <x:c r="G5" s="13" t="str">
        <x:v>重构 generator</x:v>
      </x:c>
    </x:row>
    <x:row r="6" ht="15" hidden="0" customHeight="1">
      <x:c r="A6" s="13" t="str">
        <x:v>B03</x:v>
      </x:c>
      <x:c r="B6" s="13" t="str">
        <x:v>TEP/CWRU/MVTec label/filename 泄漏物理隔离</x:v>
      </x:c>
      <x:c r="C6" s="14" t="str">
        <x:v>OPEN</x:v>
      </x:c>
      <x:c r="D6" s="13" t="str">
        <x:v>payload schema audit + negative tests</x:v>
      </x:c>
      <x:c r="E6" s="13" t="str">
        <x:v>数据</x:v>
      </x:c>
      <x:c r="F6" s="13" t="str">
        <x:v>G1</x:v>
      </x:c>
      <x:c r="G6" s="13" t="str">
        <x:v>移除/重导入</x:v>
      </x:c>
    </x:row>
    <x:row r="7" ht="15" hidden="0" customHeight="1">
      <x:c r="A7" s="13" t="str">
        <x:v>B04</x:v>
      </x:c>
      <x:c r="B7" s="13" t="str">
        <x:v>24 层可达性与 ActionTruth 双人签署</x:v>
      </x:c>
      <x:c r="C7" s="14" t="str">
        <x:v>OPEN</x:v>
      </x:c>
      <x:c r="D7" s="13" t="str">
        <x:v>ScenarioQualificationManifest</x:v>
      </x:c>
      <x:c r="E7" s="13" t="str">
        <x:v>安全复核</x:v>
      </x:c>
      <x:c r="F7" s="13" t="str">
        <x:v>G3</x:v>
      </x:c>
      <x:c r="G7" s="13" t="str">
        <x:v>删除不可达层并升版</x:v>
      </x:c>
    </x:row>
    <x:row r="8" ht="15" hidden="0" customHeight="1">
      <x:c r="A8" s="13" t="str">
        <x:v>B05</x:v>
      </x:c>
      <x:c r="B8" s="13" t="str">
        <x:v>G*、SESOI、no-harm、权重、arm×frame 冻结</x:v>
      </x:c>
      <x:c r="C8" s="14" t="str">
        <x:v>OPEN</x:v>
      </x:c>
      <x:c r="D8" s="13" t="str">
        <x:v>DesignFreezeManifest</x:v>
      </x:c>
      <x:c r="E8" s="13" t="str">
        <x:v>统计/PI</x:v>
      </x:c>
      <x:c r="F8" s="13" t="str">
        <x:v>G3</x:v>
      </x:c>
      <x:c r="G8" s="13" t="str">
        <x:v>禁止 pilot 后择优</x:v>
      </x:c>
    </x:row>
    <x:row r="9" ht="15" hidden="0" customHeight="1">
      <x:c r="A9" s="13" t="str">
        <x:v>B06</x:v>
      </x:c>
      <x:c r="B9" s="13" t="str">
        <x:v>root-level mapper 联合校准与 coupling family</x:v>
      </x:c>
      <x:c r="C9" s="14" t="str">
        <x:v>OPEN</x:v>
      </x:c>
      <x:c r="D9" s="13" t="str">
        <x:v>CalibrationCertificate + envelope</x:v>
      </x:c>
      <x:c r="E9" s="13" t="str">
        <x:v>ML/融合</x:v>
      </x:c>
      <x:c r="F9" s="13" t="str">
        <x:v>G4</x:v>
      </x:c>
      <x:c r="G9" s="13" t="str">
        <x:v>ABSTAIN_MAPPING</x:v>
      </x:c>
    </x:row>
    <x:row r="10" ht="15" hidden="0" customHeight="1">
      <x:c r="A10" s="13" t="str">
        <x:v>B07</x:v>
      </x:c>
      <x:c r="B10" s="13" t="str">
        <x:v>pilot precision/ICC/q/共同无效率合格</x:v>
      </x:c>
      <x:c r="C10" s="14" t="str">
        <x:v>OPEN</x:v>
      </x:c>
      <x:c r="D10" s="13" t="str">
        <x:v>PilotQualificationReport</x:v>
      </x:c>
      <x:c r="E10" s="13" t="str">
        <x:v>统计</x:v>
      </x:c>
      <x:c r="F10" s="13" t="str">
        <x:v>G4</x:v>
      </x:c>
      <x:c r="G10" s="13" t="str">
        <x:v>扩大 pilot/改设计</x:v>
      </x:c>
    </x:row>
    <x:row r="11" ht="15" hidden="0" customHeight="1">
      <x:c r="A11" s="13" t="str">
        <x:v>B08</x:v>
      </x:c>
      <x:c r="B11" s="13" t="str">
        <x:v>完整 gate simultaneous power/type-I 合格</x:v>
      </x:c>
      <x:c r="C11" s="14" t="str">
        <x:v>OPEN</x:v>
      </x:c>
      <x:c r="D11" s="13" t="str">
        <x:v>PowerConfirmReport</x:v>
      </x:c>
      <x:c r="E11" s="13" t="str">
        <x:v>统计</x:v>
      </x:c>
      <x:c r="F11" s="13" t="str">
        <x:v>G5</x:v>
      </x:c>
      <x:c r="G11" s="13" t="str">
        <x:v>增样本或降主张</x:v>
      </x:c>
    </x:row>
    <x:row r="12" ht="15" hidden="0" customHeight="1">
      <x:c r="A12" s="13" t="str">
        <x:v>B09</x:v>
      </x:c>
      <x:c r="B12" s="13" t="str">
        <x:v>Allocation/TestManifest、分析代码、容器全部密封</x:v>
      </x:c>
      <x:c r="C12" s="14" t="str">
        <x:v>OPEN</x:v>
      </x:c>
      <x:c r="D12" s="13" t="str">
        <x:v>签名 hash manifest</x:v>
      </x:c>
      <x:c r="E12" s="13" t="str">
        <x:v>PI/软件</x:v>
      </x:c>
      <x:c r="F12" s="13" t="str">
        <x:v>G5</x:v>
      </x:c>
      <x:c r="G12" s="13" t="str">
        <x:v>禁止解封 test</x:v>
      </x:c>
    </x:row>
    <x:row r="13" ht="15" hidden="0" customHeight="1">
      <x:c r="A13" s="13" t="str">
        <x:v>B10</x:v>
      </x:c>
      <x:c r="B13" s="13" t="str">
        <x:v>独立实现 C 等价与差异裁决流程</x:v>
      </x:c>
      <x:c r="C13" s="14" t="str">
        <x:v>OPEN</x:v>
      </x:c>
      <x:c r="D13" s="13" t="str">
        <x:v>EquivalenceIUT + adjudication log</x:v>
      </x:c>
      <x:c r="E13" s="13" t="str">
        <x:v>独立实现</x:v>
      </x:c>
      <x:c r="F13" s="13" t="str">
        <x:v>G2</x:v>
      </x:c>
      <x:c r="G13" s="13" t="str">
        <x:v>不得声明表示一致</x:v>
      </x:c>
    </x:row>
    <x:row r="14" ht="15" hidden="0" customHeight="1">
      <x:c r="A14" s="13" t="str">
        <x:v>B11</x:v>
      </x:c>
      <x:c r="B14" s="13" t="str">
        <x:v>Information Fusion cover letter 六问与 50 refs 上限</x:v>
      </x:c>
      <x:c r="C14" s="14" t="str">
        <x:v>OPEN</x:v>
      </x:c>
      <x:c r="D14" s="13" t="str">
        <x:v>submission audit</x:v>
      </x:c>
      <x:c r="E14" s="13" t="str">
        <x:v>PI</x:v>
      </x:c>
      <x:c r="F14" s="13" t="str">
        <x:v>G9</x:v>
      </x:c>
      <x:c r="G14" s="13" t="str">
        <x:v>不投稿</x:v>
      </x:c>
    </x:row>
    <x:row r="15" ht="15" hidden="0" customHeight="1">
      <x:c r="A15" s="13" t="str">
        <x:v>B12</x:v>
      </x:c>
      <x:c r="B15" s="13" t="str">
        <x:v>4 TB 名义存储在 25% 余量下不足以覆盖 v6.7 高包络</x:v>
      </x:c>
      <x:c r="C15" s="14" t="str">
        <x:v>OPEN</x:v>
      </x:c>
      <x:c r="D15" s="13" t="str">
        <x:v>新增可用容量或密封压缩/复制方案</x:v>
      </x:c>
      <x:c r="E15" s="13" t="str">
        <x:v>软件/PI</x:v>
      </x:c>
      <x:c r="F15" s="13" t="str">
        <x:v>G5</x:v>
      </x:c>
      <x:c r="G15" s="13" t="str">
        <x:v>资源门 FAIL；禁止解封 test</x:v>
      </x:c>
    </x:row>
  </x:sheetData>
  <x:mergeCells>
    <x:mergeCell ref="A1:G1"/>
  </x:mergeCells>
  <x:dataValidations count="1">
    <x:dataValidation type="list" sqref="C4:C15">
      <x:formula1>"OPEN,CLOSED,WAIVED-NOT-ALLOWED"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0" hidden="0" customWidth="1"/>
    <x:col min="3" max="3" width="10" hidden="0" customWidth="1"/>
    <x:col min="4" max="4" width="58" hidden="0" customWidth="1"/>
    <x:col min="5" max="5" width="36" hidden="0" customWidth="1"/>
    <x:col min="6" max="6" width="38" hidden="0" customWidth="1"/>
  </x:cols>
  <x:sheetData>
    <x:row r="1" ht="18" hidden="0" customHeight="1">
      <x:c r="A1" s="4" t="str">
        <x:v>Sources — 方法与投稿依据（检索截至 2026-07-14）</x:v>
      </x:c>
      <x:c r="B1" s="4" t="str">
        <x:v>Sources — 方法与投稿依据（检索截至 2026-07-14）</x:v>
      </x:c>
      <x:c r="C1" s="4" t="str">
        <x:v>Sources — 方法与投稿依据（检索截至 2026-07-14）</x:v>
      </x:c>
      <x:c r="D1" s="4" t="str">
        <x:v>Sources — 方法与投稿依据（检索截至 2026-07-14）</x:v>
      </x:c>
      <x:c r="E1" s="4" t="str">
        <x:v>Sources — 方法与投稿依据（检索截至 2026-07-14）</x:v>
      </x:c>
      <x:c r="F1" s="4" t="str">
        <x:v>Sources — 方法与投稿依据（检索截至 2026-07-14）</x:v>
      </x:c>
    </x:row>
    <x:row r="2"/>
    <x:row r="3" ht="15" hidden="0" customHeight="1">
      <x:c r="A3" s="10" t="str">
        <x:v>类别</x:v>
      </x:c>
      <x:c r="B3" s="10" t="str">
        <x:v>来源</x:v>
      </x:c>
      <x:c r="C3" s="10" t="str">
        <x:v>年份</x:v>
      </x:c>
      <x:c r="D3" s="10" t="str">
        <x:v>标识/链接</x:v>
      </x:c>
      <x:c r="E3" s="10" t="str">
        <x:v>本表用途</x:v>
      </x:c>
      <x:c r="F3" s="10" t="str">
        <x:v>边界</x:v>
      </x:c>
    </x:row>
    <x:row r="4" ht="26.399999618530273" hidden="0" customHeight="1">
      <x:c r="A4" s="13" t="str">
        <x:v>期刊</x:v>
      </x:c>
      <x:c r="B4" s="13" t="str">
        <x:v>Information Fusion — Guide for Authors</x:v>
      </x:c>
      <x:c r="C4" s="13" t="n">
        <x:v>2026</x:v>
      </x:c>
      <x:c r="D4" s="13" t="str">
        <x:v>https://www.sciencedirect.com/journal/information-fusion/publish/guide-for-authors</x:v>
      </x:c>
      <x:c r="E4" s="13" t="str">
        <x:v>页数/摘要/关键词/50 refs/cover letter</x:v>
      </x:c>
      <x:c r="F4" s="13" t="str">
        <x:v>投稿规则可能更新，提交前复核</x:v>
      </x:c>
    </x:row>
    <x:row r="5" ht="15" hidden="0" customHeight="1">
      <x:c r="A5" s="13" t="str">
        <x:v>依赖证据</x:v>
      </x:c>
      <x:c r="B5" s="13" t="str">
        <x:v>Shenoy, On distinct belief functions</x:v>
      </x:c>
      <x:c r="C5" s="13" t="n">
        <x:v>2023</x:v>
      </x:c>
      <x:c r="D5" s="13" t="str">
        <x:v>https://proceedings.mlr.press/v215/shenoy23a.html</x:v>
      </x:c>
      <x:c r="E5" s="13" t="str">
        <x:v>幂等/依赖证据强基线</x:v>
      </x:c>
      <x:c r="F5" s="13" t="str">
        <x:v>不等同于 provenance lifecycle</x:v>
      </x:c>
    </x:row>
    <x:row r="6" ht="15" hidden="0" customHeight="1">
      <x:c r="A6" s="13" t="str">
        <x:v>依赖建模</x:v>
      </x:c>
      <x:c r="B6" s="13" t="str">
        <x:v>Su et al., Handling dependence in DST</x:v>
      </x:c>
      <x:c r="C6" s="13" t="n">
        <x:v>2017</x:v>
      </x:c>
      <x:c r="D6" s="13" t="str">
        <x:v>https://doi.org/10.1002/int.21695</x:v>
      </x:c>
      <x:c r="E6" s="13" t="str">
        <x:v>依赖类型与相关性边界</x:v>
      </x:c>
      <x:c r="F6" s="13" t="str">
        <x:v>谱系重复不是全部统计相关</x:v>
      </x:c>
    </x:row>
    <x:row r="7" ht="26.399999618530273" hidden="0" customHeight="1">
      <x:c r="A7" s="13" t="str">
        <x:v>溯源</x:v>
      </x:c>
      <x:c r="B7" s="13" t="str">
        <x:v>Kowalski &amp; Martin, Provenance across evidence combination</x:v>
      </x:c>
      <x:c r="C7" s="13" t="n">
        <x:v>2018</x:v>
      </x:c>
      <x:c r="D7" s="13" t="str">
        <x:v>https://doi.org/10.23919/ICIF.2018.8455764</x:v>
      </x:c>
      <x:c r="E7" s="13" t="str">
        <x:v>组合全过程 provenance 对照</x:v>
      </x:c>
      <x:c r="F7" s="13" t="str">
        <x:v>需避免声称首次引入 provenance</x:v>
      </x:c>
    </x:row>
    <x:row r="8" ht="26.399999618530273" hidden="0" customHeight="1">
      <x:c r="A8" s="13" t="str">
        <x:v>溯源融合</x:v>
      </x:c>
      <x:c r="B8" s="13" t="str">
        <x:v>Chang et al., PRIMEX-PEV</x:v>
      </x:c>
      <x:c r="C8" s="13" t="n">
        <x:v>2025</x:v>
      </x:c>
      <x:c r="D8" s="13" t="str">
        <x:v>https://isif.org/media/encoding-information-lineage-scalable-distributed-fusion</x:v>
      </x:c>
      <x:c r="E8" s="13" t="str">
        <x:v>lineage/value 可扩展基线</x:v>
      </x:c>
      <x:c r="F8" s="13" t="str">
        <x:v>同根一次的创新冲突必须正面处理</x:v>
      </x:c>
    </x:row>
    <x:row r="9" ht="15" hidden="0" customHeight="1">
      <x:c r="A9" s="13" t="str">
        <x:v>稳健证据</x:v>
      </x:c>
      <x:c r="B9" s="13" t="str">
        <x:v>Denoeux, cautious rule</x:v>
      </x:c>
      <x:c r="C9" s="13" t="n">
        <x:v>2008</x:v>
      </x:c>
      <x:c r="D9" s="13" t="str">
        <x:v>https://doi.org/10.1016/j.artint.2007.05.008</x:v>
      </x:c>
      <x:c r="E9" s="13" t="str">
        <x:v>谨慎/幂等强基线</x:v>
      </x:c>
      <x:c r="F9" s="13" t="str">
        <x:v>主要处理可分 belief functions</x:v>
      </x:c>
    </x:row>
    <x:row r="10" ht="15" hidden="0" customHeight="1">
      <x:c r="A10" s="13" t="str">
        <x:v>依赖信息</x:v>
      </x:c>
      <x:c r="B10" s="13" t="str">
        <x:v>Chebbah et al.</x:v>
      </x:c>
      <x:c r="C10" s="13" t="n">
        <x:v>2015</x:v>
      </x:c>
      <x:c r="D10" s="13" t="str">
        <x:v>https://doi.org/10.1016/j.dss.2015.02.017</x:v>
      </x:c>
      <x:c r="E10" s="13" t="str">
        <x:v>来源依赖信息的 DST 处理</x:v>
      </x:c>
      <x:c r="F10" s="13" t="str">
        <x:v>与审计/生命周期目标不同</x:v>
      </x:c>
    </x:row>
    <x:row r="11" ht="15" hidden="0" customHeight="1">
      <x:c r="A11" s="13" t="str">
        <x:v>依赖 ER</x:v>
      </x:c>
      <x:c r="B11" s="13" t="str">
        <x:v>Zhang et al.</x:v>
      </x:c>
      <x:c r="C11" s="13" t="n">
        <x:v>2023</x:v>
      </x:c>
      <x:c r="D11" s="13" t="str">
        <x:v>https://doi.org/10.1016/j.cja.2023.03.037</x:v>
      </x:c>
      <x:c r="E11" s="13" t="str">
        <x:v>依赖 evidential reasoning 比较</x:v>
      </x:c>
      <x:c r="F11" s="13" t="str">
        <x:v>应用与假设需公平对齐</x:v>
      </x:c>
    </x:row>
    <x:row r="12" ht="15" hidden="0" customHeight="1">
      <x:c r="A12" s="13" t="str">
        <x:v>未知相关</x:v>
      </x:c>
      <x:c r="B12" s="13" t="str">
        <x:v>Ajgl &amp; Straka, covariance intersection</x:v>
      </x:c>
      <x:c r="C12" s="13" t="n">
        <x:v>2022</x:v>
      </x:c>
      <x:c r="D12" s="13" t="str">
        <x:v>https://doi.org/10.1016/j.automatica.2022.110168</x:v>
      </x:c>
      <x:c r="E12" s="13" t="str">
        <x:v>无共同 root 统计相关边界基线</x:v>
      </x:c>
      <x:c r="F12" s="13" t="str">
        <x:v>本方法不解决未知 cross-root correlation</x:v>
      </x:c>
    </x:row>
    <x:row r="13" ht="15" hidden="0" customHeight="1">
      <x:c r="A13" s="13" t="str">
        <x:v>本地规范</x:v>
      </x:c>
      <x:c r="B13" s="13" t="str">
        <x:v>实验设计与执行计划 v6.7</x:v>
      </x:c>
      <x:c r="C13" s="13" t="n">
        <x:v>2026</x:v>
      </x:c>
      <x:c r="D13" s="13" t="str">
        <x:v>workspace sibling</x:v>
      </x:c>
      <x:c r="E13" s="13" t="str">
        <x:v>样本单位、gate、停止条件</x:v>
      </x:c>
      <x:c r="F13" s="13" t="str">
        <x:v>未完成实验</x:v>
      </x:c>
    </x:row>
  </x:sheetData>
  <x:mergeCells>
    <x:mergeCell ref="A1:F1"/>
  </x:mergeCells>
  <x:pageMargins left="0.7" right="0.7" top="0.75" bottom="0.75" header="0.3" footer="0.3"/>
</x:worksheet>
</file>